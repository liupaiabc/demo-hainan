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codeName="ThisWorkbook"/>
  <mc:AlternateContent xmlns:mc="http://schemas.openxmlformats.org/markup-compatibility/2006">
    <mc:Choice Requires="x15">
      <x15ac:absPath xmlns:x15ac="http://schemas.microsoft.com/office/spreadsheetml/2010/11/ac" url="D:\2 数据安全日常工作\1 个人信息保护影响评估\3 评估记录\其他\亲情服务未成年存量筛查适配改造\"/>
    </mc:Choice>
  </mc:AlternateContent>
  <bookViews>
    <workbookView windowWidth="21550" windowHeight="10080" tabRatio="795" activeTab="1"/>
  </bookViews>
  <sheets>
    <sheet name="首页" sheetId="22" r:id="rId1"/>
    <sheet name="基本信息（产品经理）" sheetId="1" r:id="rId2"/>
    <sheet name="个人信息映射表（产品经理）" sheetId="23" r:id="rId3"/>
    <sheet name="个人信息保护影响评估（产品经理）" sheetId="8" r:id="rId4"/>
    <sheet name="风险等级" sheetId="25" r:id="rId5"/>
    <sheet name="审核记录" sheetId="27" r:id="rId6"/>
    <sheet name="参考" sheetId="18" r:id="rId7"/>
    <sheet name="下拉菜单参考" sheetId="15" state="hidden" r:id="rId8"/>
  </sheets>
  <externalReferences>
    <externalReference r:id="rId10"/>
  </externalReferences>
  <definedNames>
    <definedName name="_xlnm._FilterDatabase" localSheetId="3" hidden="1">'个人信息保护影响评估（产品经理）'!$C$4:$O$55</definedName>
    <definedName name="Range">[1]Dropdown!$C$2:$C$7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<sst xmlns="http://schemas.openxmlformats.org/spreadsheetml/2006/main" count="735" uniqueCount="428">
  <si>
    <t>个人信息保护影响评估表</t>
  </si>
  <si>
    <t>需求名称：</t>
  </si>
  <si>
    <t>系统名称：</t>
  </si>
  <si>
    <t>评估人：</t>
  </si>
  <si>
    <t>审核人：</t>
  </si>
  <si>
    <t>评估日期：</t>
  </si>
  <si>
    <t>基本信息收集页</t>
  </si>
  <si>
    <t>编号</t>
  </si>
  <si>
    <t>问题</t>
  </si>
  <si>
    <t>回答</t>
  </si>
  <si>
    <t>补充说明</t>
  </si>
  <si>
    <t>备注</t>
  </si>
  <si>
    <t>样例</t>
  </si>
  <si>
    <t>系统/项目的基本信息</t>
  </si>
  <si>
    <t>系统名称</t>
  </si>
  <si>
    <t>统一管理平台-风控系统</t>
  </si>
  <si>
    <t>请进行填写</t>
  </si>
  <si>
    <t>售后服务官网</t>
  </si>
  <si>
    <t>需求名称</t>
  </si>
  <si>
    <t>亲情服务未成年存量筛查适配改造</t>
  </si>
  <si>
    <t>填写本次需求名称</t>
  </si>
  <si>
    <t>XXXX</t>
  </si>
  <si>
    <t>需求负责人</t>
  </si>
  <si>
    <t>何新宇</t>
  </si>
  <si>
    <t>张三</t>
  </si>
  <si>
    <t>需求负责人部门</t>
  </si>
  <si>
    <t>基础平台产品团队</t>
  </si>
  <si>
    <t>售后服务部</t>
  </si>
  <si>
    <t>需求描述</t>
  </si>
  <si>
    <t>亲情服务认证改造后，需对上线前已绑定的未成年数据进行筛查，因此需利用风控后台风险排查原有页面并进行适配化改造，以支持该筛查工作。</t>
  </si>
  <si>
    <t>该网页可以帮助客户进行售后服务问题提交，追踪。问题提交后，会有第三方客服中心进行筛选归类，并将问题反馈到相应部门。</t>
  </si>
  <si>
    <t>业务场景类型</t>
  </si>
  <si>
    <t>本次需求的业务场景类型</t>
  </si>
  <si>
    <t>售后</t>
  </si>
  <si>
    <t>个人信息的基本信息</t>
  </si>
  <si>
    <t>涉及的个人信息处理活动</t>
  </si>
  <si>
    <t>使用</t>
  </si>
  <si>
    <t>存储</t>
  </si>
  <si>
    <t>传输</t>
  </si>
  <si>
    <t>个人信息类别
（具体类别可以参照“参考”页面）</t>
  </si>
  <si>
    <t>个人生物识别信息</t>
  </si>
  <si>
    <t>请下拉选择</t>
  </si>
  <si>
    <t>个人基本资料</t>
  </si>
  <si>
    <t>个人身份信息</t>
  </si>
  <si>
    <t>个人位置信息</t>
  </si>
  <si>
    <t>个人信息字段</t>
  </si>
  <si>
    <t>人脸照片、社保卡照片、姓名、年龄、社会保障号码</t>
  </si>
  <si>
    <t>客户姓名、电话、身份证、位置（精确到市）</t>
  </si>
  <si>
    <t>个人信息主体类别</t>
  </si>
  <si>
    <t>客户（包括消费客户、潜在客户等）</t>
  </si>
  <si>
    <t>客户</t>
  </si>
  <si>
    <t>个人信息主体的数量（总量）</t>
  </si>
  <si>
    <t>1万到10万人</t>
  </si>
  <si>
    <t>10万到100万之间</t>
  </si>
  <si>
    <t>是否涉及敏感个人信息的处理？</t>
  </si>
  <si>
    <t>是</t>
  </si>
  <si>
    <t>敏感个人信息的类别
（具体类别可以参照“参考”页面）</t>
  </si>
  <si>
    <t>敏感个人信息的字段举例</t>
  </si>
  <si>
    <t>人脸照片、社保卡照片、社会保障号码</t>
  </si>
  <si>
    <t>身份证号</t>
  </si>
  <si>
    <t>敏感个人信息主体的数量（总量）</t>
  </si>
  <si>
    <t>大于1万</t>
  </si>
  <si>
    <t>个人信息处理是否涉及其他第三方公司？ 
若为“是”， 请在E列补充说明第三方公司名称和向其提供的个人信息。</t>
  </si>
  <si>
    <t>否</t>
  </si>
  <si>
    <t>是， XXX客服中心</t>
  </si>
  <si>
    <t>是否涉及面向客户的系统？
（如手机APP，网页版、电脑客户端软件等）</t>
  </si>
  <si>
    <t>是， 网页版</t>
  </si>
  <si>
    <t>个人信息收集方式？
（直接收集：个人信息主体主动提供、后台采集等；
间接收集：第三方共享、转让， 公开搜索等）</t>
  </si>
  <si>
    <t>其他，请在“补充说明”处进行说明</t>
  </si>
  <si>
    <t>从公司内部其它系统数据库获取</t>
  </si>
  <si>
    <t>直接收集：个人信息主体主动提供</t>
  </si>
  <si>
    <t>存储地点（本地数据中心，云上存储，第三方数据中心）</t>
  </si>
  <si>
    <t>本地数据中心</t>
  </si>
  <si>
    <t>存储期限（如5年，10年，永久等）</t>
  </si>
  <si>
    <t>导入名单数据：永久保存；
筛查的用户信息：用完即删</t>
  </si>
  <si>
    <t>永久保存</t>
  </si>
  <si>
    <r>
      <rPr>
        <b/>
        <sz val="10"/>
        <rFont val="微软雅黑"/>
        <charset val="134"/>
      </rPr>
      <t>跨境传输的基本信息</t>
    </r>
    <r>
      <rPr>
        <b/>
        <i/>
        <sz val="10"/>
        <rFont val="微软雅黑"/>
        <charset val="134"/>
      </rPr>
      <t>（*境外：指相对于数据主体所属国家的境外国家）</t>
    </r>
  </si>
  <si>
    <r>
      <rPr>
        <sz val="10"/>
        <color theme="1"/>
        <rFont val="微软雅黑"/>
        <charset val="134"/>
      </rPr>
      <t xml:space="preserve">是否向境外提供个人信息？
例如：通过系统接口传输数据，访问境外系统，邮件传输数据发送到境外，境内系统境外访问等。
</t>
    </r>
    <r>
      <rPr>
        <b/>
        <sz val="10"/>
        <color theme="1"/>
        <rFont val="微软雅黑"/>
        <charset val="134"/>
      </rPr>
      <t>（*境外：指相对于数据主体所属国家的境外国家）</t>
    </r>
  </si>
  <si>
    <r>
      <rPr>
        <sz val="10"/>
        <color theme="1"/>
        <rFont val="微软雅黑"/>
        <charset val="134"/>
      </rPr>
      <t xml:space="preserve">通过什么方式进行个人信息出境？ 
例如：
直接传输：通过系统接口传输数据， 访问境外系统，邮件传输数据发送到境外等；
间接传输：境内系统境外访问等；
</t>
    </r>
    <r>
      <rPr>
        <b/>
        <sz val="10"/>
        <color theme="1"/>
        <rFont val="微软雅黑"/>
        <charset val="134"/>
      </rPr>
      <t>（*境外：指相对于数据主体所属国家的境外国家）</t>
    </r>
  </si>
  <si>
    <t>直接方式：通过系统接口将数据传输到境外系统</t>
  </si>
  <si>
    <t>请基于”基本信息“中的“个人信息的基本信息”进行填写：</t>
  </si>
  <si>
    <t>个人信息类别</t>
  </si>
  <si>
    <t>是否敏感个人信息</t>
  </si>
  <si>
    <t>系统功能/模块</t>
  </si>
  <si>
    <t>数据来源</t>
  </si>
  <si>
    <t>收集方式</t>
  </si>
  <si>
    <t>目的</t>
  </si>
  <si>
    <t>姓名、年龄</t>
  </si>
  <si>
    <t>风控系统</t>
  </si>
  <si>
    <t>电子社保卡</t>
  </si>
  <si>
    <t>用于风控人员对亲情签发时用户提交信息进行筛查</t>
  </si>
  <si>
    <t>人脸照片</t>
  </si>
  <si>
    <t>社保卡照片、社会保障号码</t>
  </si>
  <si>
    <t>说明</t>
  </si>
  <si>
    <t>员工(包括内部员工、外部员工等)</t>
  </si>
  <si>
    <t>第三方（包括服务商、供应商、承运商等）</t>
  </si>
  <si>
    <t>直接收集：自动采集（基于个人主体的行为/交互）</t>
  </si>
  <si>
    <t>间接收集：第三方共享、转让</t>
  </si>
  <si>
    <t>间接收集：公开搜索</t>
  </si>
  <si>
    <t>评估域</t>
  </si>
  <si>
    <t>评估项</t>
  </si>
  <si>
    <t>评估子项</t>
  </si>
  <si>
    <t>回复</t>
  </si>
  <si>
    <t>现状说明/澄清说明</t>
  </si>
  <si>
    <t>风险项触发规则</t>
  </si>
  <si>
    <t>满足条件</t>
  </si>
  <si>
    <t>执行结果</t>
  </si>
  <si>
    <t>风险处置策略</t>
  </si>
  <si>
    <t>风险处置方案</t>
  </si>
  <si>
    <t>风险处置负责人及部门</t>
  </si>
  <si>
    <t>计划完成处置时间</t>
  </si>
  <si>
    <t>1.个人信息的收集</t>
  </si>
  <si>
    <t>1.1隐私政策</t>
  </si>
  <si>
    <t>获得同意</t>
  </si>
  <si>
    <t>隐私政策相关规则是否符合以下内容？</t>
  </si>
  <si>
    <t>1.1.1是否提示用户阅读隐私政策，并在收集、使用前获取用户的有效同意？</t>
  </si>
  <si>
    <t>您确认同意您作为未成年人的合法监护人，同意我们为开通电子社保卡的需要向您收集您作为合法监护人的子女或被监护人的姓名、社会保障号码、社保卡照片、人脸照片等信息，上述信息属于您被监护人的个人信息、个人敏感信息，如您不提供前述信息，可能无法申领电子社保卡或无法使用我们提供的服务，包括电子社保卡及相关功能等。</t>
  </si>
  <si>
    <t>易读易访问</t>
  </si>
  <si>
    <t>1.1.2是否隐私政策等收集使用规则易于访问和阅读？</t>
  </si>
  <si>
    <t>用户可以在电子社保卡中我的-隐私中心内查看隐私政策</t>
  </si>
  <si>
    <t>1.2授权同意</t>
  </si>
  <si>
    <t>禁止强制授权</t>
  </si>
  <si>
    <t>收集个人信息是否征得用户同意？</t>
  </si>
  <si>
    <t>1.2.1是否强制要求用户授权同意个人信息的收集，如将客户授权或同意其个人信息用于营销、对外提供等行为作为与客户建立业务关系的先决条件？</t>
  </si>
  <si>
    <t>不适用</t>
  </si>
  <si>
    <t>本次需求不涉及，从电子社保卡数据库拉取，不直接从用户收集信息</t>
  </si>
  <si>
    <t>明示同意</t>
  </si>
  <si>
    <t>1.2.2是否以默认选择同意隐私政策等非明示的方式征求用户同意？</t>
  </si>
  <si>
    <t>正当途径获得授权</t>
  </si>
  <si>
    <t>1.2.3是否存在以不正当方式（如有奖问答、赠送礼物等）误导用户同意收集个人信息？</t>
  </si>
  <si>
    <t>第三方来源合法</t>
  </si>
  <si>
    <t>1.2.4从第三方公司收集个人信息时，是否在与第三方公司的约定条款中说明个人信息来源的合法性？</t>
  </si>
  <si>
    <t>1.3强制收集</t>
  </si>
  <si>
    <t>拒后仍收集</t>
  </si>
  <si>
    <t>个人信息收集时是否涉及如下情形？</t>
  </si>
  <si>
    <t>1.3.1用户明确表示不同意收集其个人信息后，是否仍继续收集其个人信息？</t>
  </si>
  <si>
    <t>拒后频繁征求同意</t>
  </si>
  <si>
    <t>1.3.2用户明确表示不同意收集其个人信息后，是否频繁征求用户同意 （如48小时内，超过一次的征求同意）？</t>
  </si>
  <si>
    <t>1.4信息最小化</t>
  </si>
  <si>
    <t>收集范围最小化</t>
  </si>
  <si>
    <t>收集的个人信息是否满足信息最小化原则？</t>
  </si>
  <si>
    <t>1.4.1是否收集与业务功能无关的个人信息？</t>
  </si>
  <si>
    <t>未收集与业务功能无关的个人信息</t>
  </si>
  <si>
    <t>收集频度最小化</t>
  </si>
  <si>
    <t>1.4.2收集个人信息的频度是否超出业务功能实际需要？</t>
  </si>
  <si>
    <t>按风控实际需要，单次收集</t>
  </si>
  <si>
    <t>2.个人信息的存储</t>
  </si>
  <si>
    <t>2.1保存期限</t>
  </si>
  <si>
    <t>最小保存期限</t>
  </si>
  <si>
    <t>个人信息保存期限是否符合以下要求？</t>
  </si>
  <si>
    <t>2.1.1个人信息保存期限是否为实现个人信息主体授权使用的目的所必需的最短时间？</t>
  </si>
  <si>
    <t>超期后删除或匿名化</t>
  </si>
  <si>
    <t>2.1.2超出上述个人信息保存期限后，是否对个人信息进行删除或匿名化处理？</t>
  </si>
  <si>
    <t>3.个人信息的使用</t>
  </si>
  <si>
    <t>3.1使用目的</t>
  </si>
  <si>
    <t>禁止滥用</t>
  </si>
  <si>
    <t>是否存在数据滥用？</t>
  </si>
  <si>
    <t>3.1.1是否存在超出收集时所声明的、与处理目的直接或合理关联的范围处理个人信息的情形？（如：因不同业务目的所收集的个人信息汇聚融合时，使用目的超出授权范围）</t>
  </si>
  <si>
    <t>仅用作风控</t>
  </si>
  <si>
    <t>3.2使用管理措施</t>
  </si>
  <si>
    <t>权限默认禁止</t>
  </si>
  <si>
    <t>采用以下哪些个人信息使用的管理措施？</t>
  </si>
  <si>
    <t>3.2.1后台管理系统、客户系统的用户（内部员工），是否默认禁止其对个人信息和敏感个人信息的查询和下载权限？</t>
  </si>
  <si>
    <t>风控系统不支持下载、直接查询等功能</t>
  </si>
  <si>
    <t>个人信息处理台账</t>
  </si>
  <si>
    <t>3.2.2是否建立、维护和更新所收集、使用的个人信息处理活动记录（数据字典）？</t>
  </si>
  <si>
    <t>风控运营留存筛查记录</t>
  </si>
  <si>
    <t>展示个人信息脱敏</t>
  </si>
  <si>
    <t>3.2.3涉及通过界面（如显示屏幕、纸面）展示个人信息的，是否对需展示的个人信息采取去标识化处理等脱敏措施？</t>
  </si>
  <si>
    <t>风控页面展示姓名等文字信息已脱敏，导入名单后用户信息中姓名、社会保障号码展示脱敏。为实现风控筛查目的，社保卡照片、人脸照片无法脱敏。</t>
  </si>
  <si>
    <t>3.3自动化决策管控</t>
  </si>
  <si>
    <t>原理机制公开</t>
  </si>
  <si>
    <t>自动化决策是否满足以下要求？</t>
  </si>
  <si>
    <t>3.3.1是否向用户说明了自动化决策的基本原理或运行机制？</t>
  </si>
  <si>
    <t>本次需求不涉及</t>
  </si>
  <si>
    <t>保障用户拒绝权</t>
  </si>
  <si>
    <t>3.3.2将完全依靠自动化处理的用户画像技术应用于包括但不限于精准营销、搜索结果排序、个性化推送新闻、定向投放广告等增值应用时，是否确保用户有反对或者拒绝的权利？</t>
  </si>
  <si>
    <t>4.1敏感个人信息对外提供</t>
  </si>
  <si>
    <t>非共同合作（处理）禁止对外提供</t>
  </si>
  <si>
    <t>敏感个人信息对外提供是否符合以下条件之一？</t>
  </si>
  <si>
    <t>4.1.1 对外提供敏感个人信息是否符合以下条件之一？
（1）共同合作刚需、无替代合规方案
（2）无私有化、本地化等任何数据不出域的替代方案？</t>
  </si>
  <si>
    <t>4.个人信息的委托处理、共享、转让、公开披露、出境</t>
  </si>
  <si>
    <t>4.2委托处理</t>
  </si>
  <si>
    <t>第三方个人信息保护能力调查</t>
  </si>
  <si>
    <t>采取了哪些个人信息委托处理的管理措施？</t>
  </si>
  <si>
    <t>4.2.1委托第三方处理个人信息时，是否对第三方的个人信息保护能力进行调查，如第三方是否具备相应的个人信息保护能力，获得ISO27001，ISO27701，网络安全等级保护等相关证书？</t>
  </si>
  <si>
    <t>签署委托处理协议</t>
  </si>
  <si>
    <t>4.2.2是否与第三方签署合同或委托处理协议，约定双方的义务与权利（如存储期限、个人主体权益响应等）？</t>
  </si>
  <si>
    <t>第三方的个人信息保护能力</t>
  </si>
  <si>
    <t>4.2.3第三方是否采取了安全措施，如加密、脱敏等，保障个人信息的安全性？</t>
  </si>
  <si>
    <t>4.3共享、转让</t>
  </si>
  <si>
    <t>用户告知同意</t>
  </si>
  <si>
    <t>个人信息共享、转让是否满足以下要求？</t>
  </si>
  <si>
    <t>4.3.1是否向个人信息主体告知共享、转让个人信息的目的、数据接收方的类型，并事先征得个人信息主体的授权同意？</t>
  </si>
  <si>
    <t>签署共享、转让协议</t>
  </si>
  <si>
    <t>4.3.2是否与第三方签署共享或转让协议，约定双方的义务与权利？</t>
  </si>
  <si>
    <t>4.4公开披露</t>
  </si>
  <si>
    <t>合理合法性</t>
  </si>
  <si>
    <t>个人信息公开披露时是否采取了以下措施？</t>
  </si>
  <si>
    <t>4.4.1是否具有合理合法的理由公开披露个人信息？</t>
  </si>
  <si>
    <t>4.4.2是否向个人信息主体告知公开披露个人信息的目的、类型，并事先征得个人信息主体明示同意？</t>
  </si>
  <si>
    <t>不含敏感个人信息</t>
  </si>
  <si>
    <t>4.4.3公开披露的个人信息是否包括敏感个人信息？</t>
  </si>
  <si>
    <t>4.5出境</t>
  </si>
  <si>
    <t>合法性</t>
  </si>
  <si>
    <t>是否涉及以下个人信息出境的情形？</t>
  </si>
  <si>
    <t>4.5.1信息出境的目的是否合法？
即是否满足：
1)不属于法律法规明令禁止的；
2)不属于国家网信部门、公安部门、安全部门等有关部门认定不能出境的；
3）不会给国家政治、经济、科技、国防等安全带来风险，可能影响国家安全、损害社会公共利益。</t>
  </si>
  <si>
    <t>正当性</t>
  </si>
  <si>
    <t>4.5.2信息出境的目的是否正当？
既是否满足：
1)个人信息主体已同意；（未经个人信息主体同意但是危及公民生命财产安全等紧急情况除外）
2)不违反相关主管部门规定；</t>
  </si>
  <si>
    <t>必要性</t>
  </si>
  <si>
    <t>4.5.3信息出境的目的是否必要？
即是否满足下面任一项：
1)履行合同义务所必需的；
2)同一机构、组织内部开展业务所必需的；
3)我国政府部门履行公务所必需的；
4)履行我国政府与其他国家和地区、国际组织签署的条约、协议所必需的；
5)其他维护网络空间主权和国家安全、经济发展、社会公共利益和保护公民合法利益需要的。</t>
  </si>
  <si>
    <t>自评估</t>
  </si>
  <si>
    <t>4.5.4在个人信息出境前，是否进行数据出境风险自评估？是否经专业机构进行个人信息保护认证？是否与境外接收方签订标准合同？</t>
  </si>
  <si>
    <t>合同约束</t>
  </si>
  <si>
    <t>4.5.5是否与境外数据接收方签订合同进行约束，充分约定数据安全保护责任义务？</t>
  </si>
  <si>
    <t>5.个人信息主体权利</t>
  </si>
  <si>
    <t>5.1个人信息主体权利</t>
  </si>
  <si>
    <t>查阅复制权</t>
  </si>
  <si>
    <t>是否提供以下的功能机制？</t>
  </si>
  <si>
    <t>5.1.1是否在产品或服务提供的功能界面中设置相应的渠道，便于个人信息主体访问或获取其个人信息副本？</t>
  </si>
  <si>
    <t>更正补充权</t>
  </si>
  <si>
    <t>5.1.2是否在产品或服务提供的功能界面中设置相应的渠道，便于个人信息主体修改或更正其个人信息？</t>
  </si>
  <si>
    <t>删除权</t>
  </si>
  <si>
    <t>5.1.3是否提供便捷的渠道（客服热线、电子邮箱等），满足个人信息主体删除申请？</t>
  </si>
  <si>
    <t>撤回同意权</t>
  </si>
  <si>
    <t>5.1.4是否在产品或服务提供的功能界面中设置相应的渠道，便于个人信息主体撤回其同意？（如：撤回 “使用位置信息”、撤回 “使用相机功能”、人脸信息撤销授权、关闭个性化推荐……）</t>
  </si>
  <si>
    <t>决定权</t>
  </si>
  <si>
    <t>5.1.5是否在产品或服务提供的功能界面中设置相应的渠道，便于个人信息主体注销账户？</t>
  </si>
  <si>
    <t>5.2权利请求响应</t>
  </si>
  <si>
    <t>按期响应用户权利请求</t>
  </si>
  <si>
    <t>在响应个人信息主体提出的请求时，是否达到以下要求？</t>
  </si>
  <si>
    <t>5.2.1在验证个人信息主体身份后，是否及时响应个人信息主体提出的请求（查询、更新、删除、撤回授权同意、注销账号、获取副本），且在十五个工作日内或法律法规规定的期限内作出答复及合理解释</t>
  </si>
  <si>
    <t>申诉机制健全</t>
  </si>
  <si>
    <t>5.2.2是否建立申诉管理机制和申诉跟踪流程，并在合理的时间内对申诉进行响应</t>
  </si>
  <si>
    <t>6.个人信息保护措施</t>
  </si>
  <si>
    <t>6.1技术措施</t>
  </si>
  <si>
    <t>身份鉴别及访问控制</t>
  </si>
  <si>
    <t>采取了以下哪些技术措施？</t>
  </si>
  <si>
    <t>6.1.1个人信息处理，是否实施严格的身份鉴别、访问控制等措施</t>
  </si>
  <si>
    <t>仅1名审核员具有审核权限，且只能通过云桌面访问</t>
  </si>
  <si>
    <t>传输加密</t>
  </si>
  <si>
    <t>6.1.2是否加密传输个人信息</t>
  </si>
  <si>
    <t>大数据平台向基础平台传输UserID或社会保障号码，其中身份证号码SM3加密传输</t>
  </si>
  <si>
    <t>存储加密</t>
  </si>
  <si>
    <t>6.1.3是否加密存储个人信息</t>
  </si>
  <si>
    <t>社会保障号码使用加密机加密</t>
  </si>
  <si>
    <t>信息备份</t>
  </si>
  <si>
    <t>6.1.4是否对个人信息进行正确的备份</t>
  </si>
  <si>
    <t>按公司技术安全要求执行</t>
  </si>
  <si>
    <t>操作留痕</t>
  </si>
  <si>
    <t>6.1.5对个人信息处理的操作，系统是否进行日志记录</t>
  </si>
  <si>
    <t>统一管理平台可追溯操作日志</t>
  </si>
  <si>
    <t>状态</t>
  </si>
  <si>
    <t>统计数据</t>
  </si>
  <si>
    <t>适用指标项数：</t>
  </si>
  <si>
    <t>不适用指标项数：</t>
  </si>
  <si>
    <t>符合项数：</t>
  </si>
  <si>
    <t>有风险项数：</t>
  </si>
  <si>
    <t>风险等级</t>
  </si>
  <si>
    <t>系统编号</t>
  </si>
  <si>
    <t>评估时间</t>
  </si>
  <si>
    <t>影响级别</t>
  </si>
  <si>
    <t>可能性级别</t>
  </si>
  <si>
    <t>具体评估过程如下：</t>
  </si>
  <si>
    <t>评估项目</t>
  </si>
  <si>
    <t>分类</t>
  </si>
  <si>
    <t>影响评分判断标准</t>
  </si>
  <si>
    <t>影响评分</t>
  </si>
  <si>
    <r>
      <rPr>
        <b/>
        <u/>
        <sz val="10"/>
        <color theme="1"/>
        <rFont val="微软雅黑"/>
        <charset val="134"/>
      </rPr>
      <t>包括除个人身份识别信息之外的敏感个人信息，敏感个人信息种类</t>
    </r>
    <r>
      <rPr>
        <b/>
        <u/>
        <sz val="10"/>
        <color rgb="FF7030A0"/>
        <rFont val="微软雅黑"/>
        <charset val="134"/>
      </rPr>
      <t>多于2种</t>
    </r>
    <r>
      <rPr>
        <b/>
        <u/>
        <sz val="10"/>
        <color theme="1"/>
        <rFont val="微软雅黑"/>
        <charset val="134"/>
      </rPr>
      <t>。</t>
    </r>
    <r>
      <rPr>
        <sz val="10"/>
        <color theme="1"/>
        <rFont val="微软雅黑"/>
        <charset val="134"/>
      </rPr>
      <t xml:space="preserve">
敏感个人信息除个人身份识别信息之外，还包括：个人财产信息、个人健康生理信息、个人生物识别信息等。</t>
    </r>
  </si>
  <si>
    <r>
      <rPr>
        <b/>
        <u/>
        <sz val="10"/>
        <color theme="1"/>
        <rFont val="微软雅黑"/>
        <charset val="134"/>
      </rPr>
      <t>包括除个人身份识别信息之外的敏感个人信息，敏感个人信息种类</t>
    </r>
    <r>
      <rPr>
        <b/>
        <u/>
        <sz val="10"/>
        <color rgb="FF7030A0"/>
        <rFont val="微软雅黑"/>
        <charset val="134"/>
      </rPr>
      <t>1-2种</t>
    </r>
    <r>
      <rPr>
        <b/>
        <u/>
        <sz val="10"/>
        <color theme="1"/>
        <rFont val="微软雅黑"/>
        <charset val="134"/>
      </rPr>
      <t xml:space="preserve">。
</t>
    </r>
    <r>
      <rPr>
        <sz val="10"/>
        <color theme="1"/>
        <rFont val="微软雅黑"/>
        <charset val="134"/>
      </rPr>
      <t>敏感个人信息除个人身份识别信息之外，还包括：个人财产信息、个人健康生理信息、个人生物识别信息等。</t>
    </r>
  </si>
  <si>
    <r>
      <rPr>
        <b/>
        <u/>
        <sz val="10"/>
        <color theme="1"/>
        <rFont val="微软雅黑"/>
        <charset val="134"/>
      </rPr>
      <t>包含敏感个人信息，但</t>
    </r>
    <r>
      <rPr>
        <b/>
        <u/>
        <sz val="10"/>
        <color rgb="FF7030A0"/>
        <rFont val="微软雅黑"/>
        <charset val="134"/>
      </rPr>
      <t>仅包含</t>
    </r>
    <r>
      <rPr>
        <b/>
        <u/>
        <sz val="10"/>
        <color theme="1"/>
        <rFont val="微软雅黑"/>
        <charset val="134"/>
      </rPr>
      <t>个人身份识别信息。</t>
    </r>
    <r>
      <rPr>
        <sz val="10"/>
        <color theme="1"/>
        <rFont val="微软雅黑"/>
        <charset val="134"/>
      </rPr>
      <t xml:space="preserve">
个人身份识别信息包括：包括身份证、护照、学生证、驾驶证等。</t>
    </r>
  </si>
  <si>
    <r>
      <rPr>
        <b/>
        <u/>
        <sz val="10"/>
        <color theme="1"/>
        <rFont val="微软雅黑"/>
        <charset val="134"/>
      </rPr>
      <t>仅为个人信息，</t>
    </r>
    <r>
      <rPr>
        <b/>
        <u/>
        <sz val="10"/>
        <color rgb="FF7030A0"/>
        <rFont val="微软雅黑"/>
        <charset val="134"/>
      </rPr>
      <t>不包含</t>
    </r>
    <r>
      <rPr>
        <b/>
        <u/>
        <sz val="10"/>
        <color theme="1"/>
        <rFont val="微软雅黑"/>
        <charset val="134"/>
      </rPr>
      <t>敏感个人信息。</t>
    </r>
    <r>
      <rPr>
        <sz val="10"/>
        <color theme="1"/>
        <rFont val="微软雅黑"/>
        <charset val="134"/>
      </rPr>
      <t xml:space="preserve">
敏感个人信息包括：个人身份识别信息、个人财产信息、个人健康生理信息、个人生物识别信息等。</t>
    </r>
  </si>
  <si>
    <t>个人信息主体数量</t>
  </si>
  <si>
    <t>大于1000万人</t>
  </si>
  <si>
    <t>100万到1000万人</t>
  </si>
  <si>
    <t>10到100万人</t>
  </si>
  <si>
    <t>小于10万人</t>
  </si>
  <si>
    <r>
      <rPr>
        <b/>
        <sz val="10"/>
        <color theme="1"/>
        <rFont val="微软雅黑"/>
        <charset val="134"/>
      </rPr>
      <t xml:space="preserve">个人信息存储
</t>
    </r>
    <r>
      <rPr>
        <i/>
        <sz val="8"/>
        <color rgb="FF7030A0"/>
        <rFont val="微软雅黑"/>
        <charset val="134"/>
      </rPr>
      <t>（*境外：指相对于数据主体所属国家的境外国家）</t>
    </r>
  </si>
  <si>
    <r>
      <rPr>
        <b/>
        <u/>
        <sz val="10"/>
        <color theme="1"/>
        <rFont val="微软雅黑"/>
        <charset val="134"/>
      </rPr>
      <t>存在个人信息跨境传输，且数据境外分散存放</t>
    </r>
    <r>
      <rPr>
        <sz val="10"/>
        <color theme="1"/>
        <rFont val="微软雅黑"/>
        <charset val="134"/>
      </rPr>
      <t xml:space="preserve">
（超过1处境外数据中心存储）</t>
    </r>
  </si>
  <si>
    <r>
      <rPr>
        <b/>
        <u/>
        <sz val="10"/>
        <color theme="1"/>
        <rFont val="微软雅黑"/>
        <charset val="134"/>
      </rPr>
      <t>存在个人信息跨境传输，但数据境外统一存放</t>
    </r>
    <r>
      <rPr>
        <sz val="10"/>
        <color theme="1"/>
        <rFont val="微软雅黑"/>
        <charset val="134"/>
      </rPr>
      <t xml:space="preserve">
（1处境外数据中心存储）</t>
    </r>
  </si>
  <si>
    <r>
      <rPr>
        <b/>
        <u/>
        <sz val="10"/>
        <color theme="1"/>
        <rFont val="微软雅黑"/>
        <charset val="134"/>
      </rPr>
      <t xml:space="preserve">不涉及个人信息跨境传输，数据存储在第三方数据中心
</t>
    </r>
    <r>
      <rPr>
        <sz val="10"/>
        <color theme="1"/>
        <rFont val="微软雅黑"/>
        <charset val="134"/>
      </rPr>
      <t>（非公司所有的数据中心）</t>
    </r>
  </si>
  <si>
    <t>不涉及个人信息跨境传输，数据存储在本地数据中心</t>
  </si>
  <si>
    <t>个人信息主体</t>
  </si>
  <si>
    <r>
      <rPr>
        <b/>
        <u/>
        <sz val="10"/>
        <color theme="1"/>
        <rFont val="微软雅黑"/>
        <charset val="134"/>
      </rPr>
      <t>涉及客户信息</t>
    </r>
    <r>
      <rPr>
        <sz val="10"/>
        <color theme="1"/>
        <rFont val="微软雅黑"/>
        <charset val="134"/>
      </rPr>
      <t xml:space="preserve">
</t>
    </r>
    <r>
      <rPr>
        <i/>
        <sz val="9"/>
        <color theme="1"/>
        <rFont val="微软雅黑"/>
        <charset val="134"/>
      </rPr>
      <t>包括产品客户、潜在客户等</t>
    </r>
  </si>
  <si>
    <r>
      <rPr>
        <b/>
        <u/>
        <sz val="10"/>
        <color theme="1"/>
        <rFont val="微软雅黑"/>
        <charset val="134"/>
      </rPr>
      <t>不涉及客户信息，仅包含员工或第三方人员信息。</t>
    </r>
    <r>
      <rPr>
        <sz val="10"/>
        <color theme="1"/>
        <rFont val="微软雅黑"/>
        <charset val="134"/>
      </rPr>
      <t xml:space="preserve">
</t>
    </r>
    <r>
      <rPr>
        <i/>
        <sz val="9"/>
        <color theme="1"/>
        <rFont val="微软雅黑"/>
        <charset val="134"/>
      </rPr>
      <t>包括：签订合同的公司员工、外包人员、合作公司、服务商等</t>
    </r>
  </si>
  <si>
    <t>系统访问</t>
  </si>
  <si>
    <r>
      <rPr>
        <b/>
        <u/>
        <sz val="10"/>
        <color theme="1"/>
        <rFont val="微软雅黑"/>
        <charset val="134"/>
      </rPr>
      <t>系统可以通过互联网访问，且和大量系统有交互</t>
    </r>
    <r>
      <rPr>
        <sz val="10"/>
        <color theme="1"/>
        <rFont val="微软雅黑"/>
        <charset val="134"/>
      </rPr>
      <t>（超过5个）。</t>
    </r>
  </si>
  <si>
    <r>
      <rPr>
        <b/>
        <u/>
        <sz val="10"/>
        <color theme="1"/>
        <rFont val="微软雅黑"/>
        <charset val="134"/>
      </rPr>
      <t>系统可以通过互联网访问，且和其他信息系统有较多交互</t>
    </r>
    <r>
      <rPr>
        <sz val="10"/>
        <color theme="1"/>
        <rFont val="微软雅黑"/>
        <charset val="134"/>
      </rPr>
      <t>（1-4个系统）。</t>
    </r>
  </si>
  <si>
    <t>系统可以通过互联网访问，但和其他系统没有交互。</t>
  </si>
  <si>
    <t>系统仅内网可以访问。</t>
  </si>
  <si>
    <t>业务属性</t>
  </si>
  <si>
    <r>
      <rPr>
        <b/>
        <u/>
        <sz val="10"/>
        <color theme="1"/>
        <rFont val="微软雅黑"/>
        <charset val="134"/>
      </rPr>
      <t xml:space="preserve">涉及对外业务，业务触发频率极高 </t>
    </r>
    <r>
      <rPr>
        <sz val="10"/>
        <color theme="1"/>
        <rFont val="微软雅黑"/>
        <charset val="134"/>
      </rPr>
      <t>（每日不间断触发）</t>
    </r>
  </si>
  <si>
    <r>
      <rPr>
        <b/>
        <u/>
        <sz val="10"/>
        <color theme="1"/>
        <rFont val="微软雅黑"/>
        <charset val="134"/>
      </rPr>
      <t>涉及对外业务，业务触发频率高</t>
    </r>
    <r>
      <rPr>
        <sz val="10"/>
        <color theme="1"/>
        <rFont val="微软雅黑"/>
        <charset val="134"/>
      </rPr>
      <t>（每日多次触发）</t>
    </r>
  </si>
  <si>
    <r>
      <rPr>
        <b/>
        <u/>
        <sz val="10"/>
        <color theme="1"/>
        <rFont val="微软雅黑"/>
        <charset val="134"/>
      </rPr>
      <t>涉及对外业务，业务触发频率低</t>
    </r>
    <r>
      <rPr>
        <sz val="10"/>
        <color theme="1"/>
        <rFont val="微软雅黑"/>
        <charset val="134"/>
      </rPr>
      <t>（每年触发频率&lt;365次）</t>
    </r>
  </si>
  <si>
    <t>仅为企业内部管理事务，不涉及对外业务。</t>
  </si>
  <si>
    <t>差距项数量</t>
  </si>
  <si>
    <t>评估结果</t>
  </si>
  <si>
    <t>不满足项占比</t>
  </si>
  <si>
    <t>个人信息的收集</t>
  </si>
  <si>
    <t>隐私政策</t>
  </si>
  <si>
    <t>授权同意</t>
  </si>
  <si>
    <t>强制收集</t>
  </si>
  <si>
    <t>信息最小化</t>
  </si>
  <si>
    <t>个人信息的存储</t>
  </si>
  <si>
    <t>保存期限</t>
  </si>
  <si>
    <t>个人信息的使用</t>
  </si>
  <si>
    <t>使用目的</t>
  </si>
  <si>
    <t>使用管控措施</t>
  </si>
  <si>
    <t>自动化决策管控</t>
  </si>
  <si>
    <t>个人信息的委托处理、共享、转让、公开披露、出境</t>
  </si>
  <si>
    <t>敏感个人信息对外提供</t>
  </si>
  <si>
    <t>委托处理</t>
  </si>
  <si>
    <t>共享、转让</t>
  </si>
  <si>
    <t>公开披露</t>
  </si>
  <si>
    <t>出境</t>
  </si>
  <si>
    <t>个人信息主体权利</t>
  </si>
  <si>
    <t>权利请求响应</t>
  </si>
  <si>
    <t>个人信息保护措施</t>
  </si>
  <si>
    <t>技术措施</t>
  </si>
  <si>
    <t>可能性</t>
  </si>
  <si>
    <t>风险等级=影响级别*可能性：</t>
  </si>
  <si>
    <t>风险等级
（影响级别*可能性）</t>
  </si>
  <si>
    <t>低</t>
  </si>
  <si>
    <t>中</t>
  </si>
  <si>
    <t>高</t>
  </si>
  <si>
    <t>极高</t>
  </si>
  <si>
    <t>审核结果：</t>
  </si>
  <si>
    <t>审核意见：</t>
  </si>
  <si>
    <t>风险项总结</t>
  </si>
  <si>
    <t>序号</t>
  </si>
  <si>
    <t>风险触发条件</t>
  </si>
  <si>
    <t>风险判定结果</t>
  </si>
  <si>
    <t>A 个人信息判定</t>
  </si>
  <si>
    <r>
      <rPr>
        <b/>
        <sz val="8"/>
        <color theme="1"/>
        <rFont val="微软雅黑"/>
        <charset val="134"/>
      </rPr>
      <t>个人信息</t>
    </r>
    <r>
      <rPr>
        <sz val="8"/>
        <color theme="1"/>
        <rFont val="微软雅黑"/>
        <charset val="134"/>
      </rPr>
      <t>是指以电子或者其他方式记录的能够单独或者与其他信息结合识别特定自然人身份或者反映特定自然人活动情况的各种信息，如姓名、出生日期、身份证件号码、个人生物识别信息、住址、通信通讯联系方式、通信记录和内容、账号密码、财产信息、征信信息、行踪轨迹、住宿信息、健康生理信息、交易信息等。 
判定某项信息是否属于个人信息，应考虑以下两条路径：一是识别，即从信息到个人，由信息本身的特殊性识别出特定自然人，个人信息应有助于识别出特定个人。二是关联，即从个人到信息，如已知特定自然人，由该特定自然人在其活动中产生的信息（如个人位置信息、个人通话记录、个人浏览记录等）即为个人信息。符合上述两种情形之一的信息，均应判定为个人信息。 
参考《GB/T 35273 信息安全技术 个人信息安全规范》</t>
    </r>
  </si>
  <si>
    <t>表A.1 个人信息举例</t>
  </si>
  <si>
    <t xml:space="preserve">个人姓名、生日、性别、民族、国籍、家庭关系、住址、个人电话号码、电子邮件地址等 </t>
  </si>
  <si>
    <t xml:space="preserve">身份证、军官证、护照、驾驶证、工作证、出入证、社保卡、居住证等 </t>
  </si>
  <si>
    <t xml:space="preserve">个人基因、指纹、声纹、掌纹、耳廓、虹膜、面部识别特征等 </t>
  </si>
  <si>
    <t>网络身份标识信息</t>
  </si>
  <si>
    <t xml:space="preserve">系统账号、IP地址、个人数字证书等 </t>
  </si>
  <si>
    <t>个人健康生理信息</t>
  </si>
  <si>
    <t xml:space="preserve">个人因生病医治等产生的相关记录，如病症、住院志、医嘱单、检验报告、手术及麻醉记录、护理记录、用药记录、药物食物过敏信息、生育信息、以往病史、诊治情况、家族病史、现病史、传染病史等，以及与个人身体健康状况相关的信息，如体重、身高、肺活量等 </t>
  </si>
  <si>
    <t>个人教育工作信息</t>
  </si>
  <si>
    <t xml:space="preserve">个人职业、职位、工作单位、学历、学位、教育经历、工作经历、培训记录、成绩单等 </t>
  </si>
  <si>
    <t>人才人事信息</t>
  </si>
  <si>
    <t>简历信息（word）、薪资、奖金等</t>
  </si>
  <si>
    <t>个人财产信息</t>
  </si>
  <si>
    <t xml:space="preserve">银行账户、鉴别信息(口令)、存款信息（包括资金数量、支付收款记录等）、房产信息、信贷记录、征信信息、交易和消费记录、流水记录等，以及虚拟货币、虚拟交易、游戏类兑换码等虚拟财产信息 </t>
  </si>
  <si>
    <t>个人通信信息</t>
  </si>
  <si>
    <t xml:space="preserve">通信记录和内容、短信、彩信、电子邮件，以及描述个人通信的数据（通常称为元数据）等 </t>
  </si>
  <si>
    <t>联系人信息</t>
  </si>
  <si>
    <t>通讯录、好友列表、群列表、电子邮件地址列表等</t>
  </si>
  <si>
    <t>个人上网记录</t>
  </si>
  <si>
    <t>指通过日志储存的个人信息主体操作记录，包括网站浏览记录、软件使用记录、点击记录、收藏列表等</t>
  </si>
  <si>
    <t>个人常用设备信息</t>
  </si>
  <si>
    <t xml:space="preserve">指包括硬件序列号、设备 MAC 地址、软件列表、唯一设备识别码（如IMEI/Android ID/IDFA/OpenUDID/GUID/SIM 卡 IMSI 信息等）等在内的描述个人常用设备基本情况的信息 </t>
  </si>
  <si>
    <t>社会保险信息</t>
  </si>
  <si>
    <t>养老保险个人账户、参保信息、缴费信息等</t>
  </si>
  <si>
    <t>特定身份信息</t>
  </si>
  <si>
    <t>残障人士身份信息、不适宜公开的职业身份信息等个人信息，如残疾人证、残疾证号等</t>
  </si>
  <si>
    <t xml:space="preserve">包括行踪轨迹、精准定位信息、住宿信息、经纬度等 </t>
  </si>
  <si>
    <t>不满十四周岁未成年人个人信息</t>
  </si>
  <si>
    <t>不满十四周岁未成年人的个人信息</t>
  </si>
  <si>
    <t>用户画像信息</t>
  </si>
  <si>
    <t>为了评估自然人的工作表现、经济状况、健康、个人偏好、兴趣、可靠性、行为方式、位置或行踪等而进行的自动化处理形成的信息。</t>
  </si>
  <si>
    <t>其他个人信息</t>
  </si>
  <si>
    <t xml:space="preserve">婚史、宗教信仰、性取向、未公开的违法犯罪记录等 </t>
  </si>
  <si>
    <t>B 敏感个人信息判定</t>
  </si>
  <si>
    <r>
      <rPr>
        <b/>
        <sz val="8"/>
        <color theme="1"/>
        <rFont val="微软雅黑"/>
        <charset val="134"/>
      </rPr>
      <t>敏感个人信息</t>
    </r>
    <r>
      <rPr>
        <sz val="8"/>
        <color theme="1"/>
        <rFont val="微软雅黑"/>
        <charset val="134"/>
      </rPr>
      <t>是一旦泄露或者非法使用，容易导致自然人的人格尊严受到侵害或者人身、财产安全受到危害的个人信息，包括生物识别、宗教信仰、特定身份、医疗健康、金融账户、行踪轨迹等信息，以及不满十四周岁未成年人的个人信息。</t>
    </r>
  </si>
  <si>
    <t>表B.1敏感个人信息举例</t>
  </si>
  <si>
    <t>银行账号、鉴别信息(口令)、存款信息（包括资金数量、支付收款记录等）、房产信息、信贷记录、征信信息、交易和消费记录、流水记录等，以及虚拟货币、虚拟交易、游戏类兑换码等虚拟财产信息</t>
  </si>
  <si>
    <t>个人因生病医治等产生的相关记录，如病症、住院志、医嘱单、检验报告、手术及麻醉记录、护理记录、用药记录、药物食物过敏信息、生育信息、以往病史、诊治情况、家族病史、现病史、传染病史等</t>
  </si>
  <si>
    <t>个人基因、指纹、声纹、掌纹、耳廓、虹膜、面部识别特征等</t>
  </si>
  <si>
    <t>身份证、军官证、护照、驾驶证、工作证、出入证、社保卡、居住证、教师证、学生证等</t>
  </si>
  <si>
    <t>其他敏感个人信息</t>
  </si>
  <si>
    <r>
      <rPr>
        <sz val="8"/>
        <color theme="1"/>
        <rFont val="微软雅黑"/>
        <charset val="134"/>
      </rPr>
      <t>性取向、</t>
    </r>
    <r>
      <rPr>
        <sz val="8"/>
        <rFont val="微软雅黑"/>
        <charset val="134"/>
      </rPr>
      <t>婚史</t>
    </r>
    <r>
      <rPr>
        <sz val="8"/>
        <color theme="1"/>
        <rFont val="微软雅黑"/>
        <charset val="134"/>
      </rPr>
      <t>、宗教信仰、</t>
    </r>
    <r>
      <rPr>
        <sz val="8"/>
        <rFont val="微软雅黑"/>
        <charset val="134"/>
      </rPr>
      <t>未公开的违法犯罪记录</t>
    </r>
    <r>
      <rPr>
        <sz val="8"/>
        <color theme="1"/>
        <rFont val="微软雅黑"/>
        <charset val="134"/>
      </rPr>
      <t>、通信记录和内容、通讯录、好友列表、群组列表、</t>
    </r>
    <r>
      <rPr>
        <sz val="8"/>
        <rFont val="微软雅黑"/>
        <charset val="134"/>
      </rPr>
      <t>网页浏览记录、征信信息、系统密码、口令、口令保护答案</t>
    </r>
    <r>
      <rPr>
        <sz val="8"/>
        <color theme="1"/>
        <rFont val="微软雅黑"/>
        <charset val="134"/>
      </rPr>
      <t>等</t>
    </r>
  </si>
  <si>
    <t>风险评估</t>
  </si>
  <si>
    <t>系统负责人</t>
  </si>
  <si>
    <t>系统负责人部门</t>
  </si>
  <si>
    <t>业务功能描述</t>
  </si>
  <si>
    <t>是否涉及个人信息的处理？</t>
  </si>
  <si>
    <t xml:space="preserve">个人信息的类别
</t>
  </si>
  <si>
    <t>个人信息字段的举例</t>
  </si>
  <si>
    <t>个人信息主体的数量（人）</t>
  </si>
  <si>
    <t>是否涉及个人敏感信息的处理？</t>
  </si>
  <si>
    <t xml:space="preserve">个人敏感信息的类别
</t>
  </si>
  <si>
    <t xml:space="preserve">个人敏感信息的字段举例
</t>
  </si>
  <si>
    <t>个人敏感信息主体的数据量（人）</t>
  </si>
  <si>
    <t>个人信息处理是否涉及其他第三方？</t>
  </si>
  <si>
    <t>是否涉及面向客户登录的系统？</t>
  </si>
  <si>
    <t>个人信息收集方式？</t>
  </si>
  <si>
    <t>存储地点</t>
  </si>
  <si>
    <t>存储期限</t>
  </si>
  <si>
    <t xml:space="preserve">是否向境外提供个人信息？
</t>
  </si>
  <si>
    <t xml:space="preserve">通过什么方式进行个人信息出境？ </t>
  </si>
  <si>
    <t>风险影响等级-评分</t>
  </si>
  <si>
    <t>风险影响等级-评级</t>
  </si>
  <si>
    <t>风险影响-矩阵分数</t>
  </si>
  <si>
    <t>风险发生可能性-评分</t>
  </si>
  <si>
    <t>风险发生可能性-评级</t>
  </si>
  <si>
    <t>风险发生可能性-矩阵分数</t>
  </si>
  <si>
    <t>风险=影响*可能性</t>
  </si>
  <si>
    <t>下拉菜单</t>
  </si>
  <si>
    <t>请填写</t>
  </si>
  <si>
    <t>&lt;1万人</t>
  </si>
  <si>
    <t>是，手机APP</t>
  </si>
  <si>
    <t>6-10</t>
  </si>
  <si>
    <t>0.75-1</t>
  </si>
  <si>
    <t>是，网页版</t>
  </si>
  <si>
    <t>直接方式：邮件发生数据到境外</t>
  </si>
  <si>
    <t>10-14</t>
  </si>
  <si>
    <t>0.50-0.75</t>
  </si>
  <si>
    <t>10万到100万人</t>
  </si>
  <si>
    <t>10万到100万</t>
  </si>
  <si>
    <t>是，电脑客户端软件</t>
  </si>
  <si>
    <t>直接方式：直接向境外系统输入数据</t>
  </si>
  <si>
    <t>14-18</t>
  </si>
  <si>
    <t>0.25-0.50</t>
  </si>
  <si>
    <t>≥100万</t>
  </si>
  <si>
    <t>是，其他，请在“补充说明”处进行说明</t>
  </si>
  <si>
    <t>间接方式：境内系统境外远程访问</t>
  </si>
  <si>
    <t>18-22</t>
  </si>
  <si>
    <t>0-0.25</t>
  </si>
  <si>
    <t>≥1000万人</t>
  </si>
  <si>
    <t>其他个人敏感信息，请在“补充说明”处进行说明</t>
  </si>
  <si>
    <t>社会保障信息</t>
  </si>
  <si>
    <t>就业创业信息</t>
  </si>
  <si>
    <t>其他个人信息，请在“补充说明”处进行说明</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</si>
</sst>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409]d\-mmm;@"/>
    <numFmt numFmtId="177" formatCode="yyyy\-mm\-dd;@"/>
  </numFmts>
  <fonts count="68">
    <font>
      <sz val="10"/>
      <color theme="1"/>
      <name val="Arial"/>
      <charset val="134"/>
    </font>
    <font>
      <b/>
      <sz val="10"/>
      <color theme="0"/>
      <name val="Arial"/>
      <charset val="134"/>
    </font>
    <font>
      <sz val="10"/>
      <color theme="0"/>
      <name val="Arial"/>
      <charset val="134"/>
    </font>
    <font>
      <b/>
      <sz val="10"/>
      <color theme="1"/>
      <name val="Arial"/>
      <charset val="134"/>
    </font>
    <font>
      <sz val="10"/>
      <color theme="1"/>
      <name val="微软雅黑"/>
      <charset val="134"/>
    </font>
    <font>
      <sz val="9"/>
      <color theme="1"/>
      <name val="微软雅黑"/>
      <charset val="134"/>
    </font>
    <font>
      <b/>
      <sz val="11"/>
      <color theme="0"/>
      <name val="微软雅黑"/>
      <charset val="134"/>
    </font>
    <font>
      <sz val="8"/>
      <color theme="1"/>
      <name val="微软雅黑"/>
      <charset val="134"/>
    </font>
    <font>
      <b/>
      <sz val="9"/>
      <color theme="0"/>
      <name val="微软雅黑"/>
      <charset val="134"/>
    </font>
    <font>
      <b/>
      <sz val="9"/>
      <color theme="1"/>
      <name val="微软雅黑"/>
      <charset val="134"/>
    </font>
    <font>
      <b/>
      <sz val="8"/>
      <color theme="1"/>
      <name val="微软雅黑"/>
      <charset val="134"/>
    </font>
    <font>
      <sz val="8"/>
      <name val="微软雅黑"/>
      <charset val="134"/>
    </font>
    <font>
      <sz val="9"/>
      <color rgb="FFFF0000"/>
      <name val="微软雅黑"/>
      <charset val="134"/>
    </font>
    <font>
      <b/>
      <sz val="14"/>
      <color theme="0"/>
      <name val="微软雅黑"/>
      <charset val="134"/>
    </font>
    <font>
      <sz val="14"/>
      <color theme="1"/>
      <name val="微软雅黑"/>
      <charset val="134"/>
    </font>
    <font>
      <b/>
      <sz val="14"/>
      <color theme="1"/>
      <name val="微软雅黑"/>
      <charset val="134"/>
    </font>
    <font>
      <b/>
      <sz val="10"/>
      <color theme="1"/>
      <name val="微软雅黑"/>
      <charset val="134"/>
    </font>
    <font>
      <sz val="10"/>
      <name val="微软雅黑"/>
      <charset val="134"/>
    </font>
    <font>
      <sz val="10"/>
      <color theme="9" tint="-0.249977111117893"/>
      <name val="微软雅黑"/>
      <charset val="134"/>
    </font>
    <font>
      <b/>
      <sz val="12"/>
      <color theme="1"/>
      <name val="微软雅黑"/>
      <charset val="134"/>
    </font>
    <font>
      <b/>
      <sz val="12"/>
      <color theme="0"/>
      <name val="微软雅黑"/>
      <charset val="134"/>
    </font>
    <font>
      <b/>
      <sz val="10"/>
      <color theme="0"/>
      <name val="微软雅黑"/>
      <charset val="134"/>
    </font>
    <font>
      <b/>
      <sz val="10"/>
      <name val="微软雅黑"/>
      <charset val="134"/>
    </font>
    <font>
      <b/>
      <u/>
      <sz val="10"/>
      <color theme="1"/>
      <name val="微软雅黑"/>
      <charset val="134"/>
    </font>
    <font>
      <sz val="10"/>
      <color rgb="FF000000"/>
      <name val="微软雅黑"/>
      <charset val="134"/>
    </font>
    <font>
      <sz val="11"/>
      <name val="微软雅黑"/>
      <charset val="134"/>
    </font>
    <font>
      <sz val="11"/>
      <color theme="1"/>
      <name val="微软雅黑"/>
      <charset val="134"/>
    </font>
    <font>
      <b/>
      <sz val="14"/>
      <name val="微软雅黑"/>
      <charset val="134"/>
    </font>
    <font>
      <sz val="10"/>
      <name val="微软雅黑"/>
      <charset val="134"/>
    </font>
    <font>
      <b/>
      <u/>
      <sz val="11"/>
      <color theme="1"/>
      <name val="微软雅黑"/>
      <charset val="134"/>
    </font>
    <font>
      <b/>
      <sz val="10"/>
      <color theme="0"/>
      <name val="宋体"/>
      <charset val="134"/>
    </font>
    <font>
      <sz val="10"/>
      <color theme="1"/>
      <name val="宋体"/>
      <charset val="134"/>
    </font>
    <font>
      <sz val="10"/>
      <color theme="1"/>
      <name val="宋体"/>
      <charset val="134"/>
    </font>
    <font>
      <sz val="10"/>
      <color theme="1"/>
      <name val="微软雅黑"/>
      <charset val="134"/>
    </font>
    <font>
      <i/>
      <sz val="10"/>
      <color theme="1"/>
      <name val="微软雅黑"/>
      <charset val="134"/>
    </font>
    <font>
      <b/>
      <i/>
      <sz val="10"/>
      <color rgb="FFC00000"/>
      <name val="微软雅黑"/>
      <charset val="134"/>
    </font>
    <font>
      <u/>
      <sz val="10"/>
      <name val="微软雅黑"/>
      <charset val="134"/>
    </font>
    <font>
      <b/>
      <sz val="18"/>
      <name val="微软雅黑"/>
      <charset val="134"/>
    </font>
    <font>
      <sz val="11"/>
      <color theme="1"/>
      <name val="等线"/>
      <charset val="134"/>
      <scheme val="minor"/>
    </font>
    <font>
      <u/>
      <sz val="10"/>
      <color theme="10"/>
      <name val="Arial"/>
      <charset val="134"/>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u/>
      <sz val="11"/>
      <color theme="10"/>
      <name val="等线"/>
      <charset val="134"/>
      <scheme val="minor"/>
    </font>
    <font>
      <sz val="9"/>
      <color theme="1"/>
      <name val="Verdana"/>
      <charset val="134"/>
    </font>
    <font>
      <sz val="11"/>
      <color indexed="8"/>
      <name val="Calibri"/>
      <charset val="134"/>
    </font>
    <font>
      <sz val="12"/>
      <color theme="1"/>
      <name val="等线"/>
      <charset val="134"/>
      <scheme val="minor"/>
    </font>
    <font>
      <sz val="10"/>
      <color theme="1"/>
      <name val="Arial"/>
      <charset val="134"/>
    </font>
    <font>
      <sz val="10"/>
      <name val="Arial"/>
      <charset val="134"/>
    </font>
    <font>
      <i/>
      <sz val="9"/>
      <color theme="1"/>
      <name val="微软雅黑"/>
      <charset val="134"/>
    </font>
    <font>
      <b/>
      <u/>
      <sz val="10"/>
      <color rgb="FF7030A0"/>
      <name val="微软雅黑"/>
      <charset val="134"/>
    </font>
    <font>
      <b/>
      <i/>
      <sz val="10"/>
      <name val="微软雅黑"/>
      <charset val="134"/>
    </font>
    <font>
      <i/>
      <sz val="8"/>
      <color rgb="FF7030A0"/>
      <name val="微软雅黑"/>
      <charset val="134"/>
    </font>
  </fonts>
  <fills count="53">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4" tint="0.799920651875362"/>
        <bgColor indexed="64"/>
      </patternFill>
    </fill>
    <fill>
      <patternFill patternType="solid">
        <fgColor theme="7" tint="0.799920651875362"/>
        <bgColor indexed="64"/>
      </patternFill>
    </fill>
    <fill>
      <patternFill patternType="solid">
        <fgColor theme="0" tint="-0.349986266670736"/>
        <bgColor indexed="64"/>
      </patternFill>
    </fill>
    <fill>
      <patternFill patternType="solid">
        <fgColor rgb="FF005EB8"/>
        <bgColor indexed="64"/>
      </patternFill>
    </fill>
    <fill>
      <patternFill patternType="solid">
        <fgColor theme="0" tint="-0.499984740745262"/>
        <bgColor indexed="64"/>
      </patternFill>
    </fill>
    <fill>
      <patternFill patternType="solid">
        <fgColor theme="5" tint="0.799920651875362"/>
        <bgColor indexed="64"/>
      </patternFill>
    </fill>
    <fill>
      <patternFill patternType="solid">
        <fgColor theme="0" tint="-0.0499893185216834"/>
        <bgColor indexed="64"/>
      </patternFill>
    </fill>
    <fill>
      <patternFill patternType="solid">
        <fgColor theme="4" tint="0.599993896298105"/>
        <bgColor indexed="64"/>
      </patternFill>
    </fill>
    <fill>
      <patternFill patternType="solid">
        <fgColor theme="4" tint="0.399914548173467"/>
        <bgColor indexed="64"/>
      </patternFill>
    </fill>
    <fill>
      <patternFill patternType="solid">
        <fgColor theme="3" tint="-0.249977111117893"/>
        <bgColor indexed="64"/>
      </patternFill>
    </fill>
    <fill>
      <patternFill patternType="solid">
        <fgColor theme="7"/>
        <bgColor indexed="64"/>
      </patternFill>
    </fill>
    <fill>
      <patternFill patternType="solid">
        <fgColor rgb="FFFF0000"/>
        <bgColor indexed="64"/>
      </patternFill>
    </fill>
    <fill>
      <patternFill patternType="solid">
        <fgColor rgb="FFC00000"/>
        <bgColor indexed="64"/>
      </patternFill>
    </fill>
    <fill>
      <patternFill patternType="solid">
        <fgColor rgb="FF92D050"/>
        <bgColor indexed="64"/>
      </patternFill>
    </fill>
    <fill>
      <patternFill patternType="solid">
        <fgColor rgb="FFFFC000"/>
        <bgColor indexed="64"/>
      </patternFill>
    </fill>
    <fill>
      <patternFill patternType="solid">
        <fgColor rgb="FFF05A23"/>
        <bgColor indexed="64"/>
      </patternFill>
    </fill>
    <fill>
      <patternFill patternType="solid">
        <fgColor rgb="FFFFFF00"/>
        <bgColor indexed="64"/>
      </patternFill>
    </fill>
    <fill>
      <patternFill patternType="solid">
        <fgColor theme="9"/>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85">
    <border>
      <left/>
      <right/>
      <top/>
      <bottom/>
      <diagonal/>
    </border>
    <border>
      <left style="medium">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style="thin">
        <color auto="1"/>
      </right>
      <top style="thin">
        <color auto="1"/>
      </top>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bottom style="medium">
        <color auto="1"/>
      </bottom>
      <diagonal/>
    </border>
    <border>
      <left style="medium">
        <color auto="1"/>
      </left>
      <right/>
      <top style="medium">
        <color auto="1"/>
      </top>
      <bottom style="hair">
        <color auto="1"/>
      </bottom>
      <diagonal/>
    </border>
    <border>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hair">
        <color auto="1"/>
      </left>
      <right style="medium">
        <color auto="1"/>
      </right>
      <top style="hair">
        <color auto="1"/>
      </top>
      <bottom/>
      <diagonal/>
    </border>
    <border>
      <left style="medium">
        <color auto="1"/>
      </left>
      <right/>
      <top/>
      <bottom style="hair">
        <color auto="1"/>
      </bottom>
      <diagonal/>
    </border>
    <border>
      <left/>
      <right style="medium">
        <color auto="1"/>
      </right>
      <top/>
      <bottom style="hair">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diagonal/>
    </border>
    <border>
      <left/>
      <right style="thin">
        <color auto="1"/>
      </right>
      <top style="medium">
        <color auto="1"/>
      </top>
      <bottom style="thin">
        <color auto="1"/>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thin">
        <color auto="1"/>
      </left>
      <right style="thin">
        <color auto="1"/>
      </right>
      <top style="medium">
        <color auto="1"/>
      </top>
      <bottom/>
      <diagonal/>
    </border>
    <border>
      <left style="thin">
        <color auto="1"/>
      </left>
      <right/>
      <top style="medium">
        <color auto="1"/>
      </top>
      <bottom/>
      <diagonal/>
    </border>
    <border>
      <left style="thin">
        <color auto="1"/>
      </left>
      <right style="thin">
        <color auto="1"/>
      </right>
      <top style="thin">
        <color auto="1"/>
      </top>
      <bottom/>
      <diagonal/>
    </border>
    <border>
      <left style="medium">
        <color auto="1"/>
      </left>
      <right/>
      <top/>
      <bottom/>
      <diagonal/>
    </border>
    <border>
      <left style="thin">
        <color auto="1"/>
      </left>
      <right style="thin">
        <color auto="1"/>
      </right>
      <top/>
      <bottom/>
      <diagonal/>
    </border>
    <border>
      <left style="medium">
        <color auto="1"/>
      </left>
      <right style="thin">
        <color auto="1"/>
      </right>
      <top/>
      <bottom style="thin">
        <color auto="1"/>
      </bottom>
      <diagonal/>
    </border>
    <border>
      <left style="thin">
        <color auto="1"/>
      </left>
      <right style="thin">
        <color auto="1"/>
      </right>
      <top/>
      <bottom style="medium">
        <color auto="1"/>
      </bottom>
      <diagonal/>
    </border>
    <border>
      <left/>
      <right style="thin">
        <color auto="1"/>
      </right>
      <top style="medium">
        <color auto="1"/>
      </top>
      <bottom/>
      <diagonal/>
    </border>
    <border>
      <left/>
      <right style="thin">
        <color auto="1"/>
      </right>
      <top/>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style="medium">
        <color auto="1"/>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thin">
        <color auto="1"/>
      </right>
      <top/>
      <bottom style="medium">
        <color auto="1"/>
      </bottom>
      <diagonal/>
    </border>
    <border>
      <left/>
      <right style="medium">
        <color auto="1"/>
      </right>
      <top/>
      <bottom/>
      <diagonal/>
    </border>
    <border>
      <left style="medium">
        <color auto="1"/>
      </left>
      <right/>
      <top style="thin">
        <color auto="1"/>
      </top>
      <bottom/>
      <diagonal/>
    </border>
    <border>
      <left/>
      <right style="medium">
        <color auto="1"/>
      </right>
      <top style="thin">
        <color auto="1"/>
      </top>
      <bottom/>
      <diagonal/>
    </border>
    <border>
      <left style="thin">
        <color auto="1"/>
      </left>
      <right style="thin">
        <color auto="1"/>
      </right>
      <top style="thin">
        <color auto="1"/>
      </top>
      <bottom style="hair">
        <color auto="1"/>
      </bottom>
      <diagonal/>
    </border>
    <border>
      <left style="medium">
        <color auto="1"/>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xf numFmtId="43" fontId="38" fillId="0" borderId="0" applyFont="0" applyFill="0" applyBorder="0" applyAlignment="0" applyProtection="0">
      <alignment vertical="center"/>
    </xf>
    <xf numFmtId="44" fontId="38" fillId="0" borderId="0" applyFont="0" applyFill="0" applyBorder="0" applyAlignment="0" applyProtection="0">
      <alignment vertical="center"/>
    </xf>
    <xf numFmtId="9" fontId="38" fillId="0" borderId="0" applyFont="0" applyFill="0" applyBorder="0" applyAlignment="0" applyProtection="0">
      <alignment vertical="center"/>
    </xf>
    <xf numFmtId="41" fontId="38" fillId="0" borderId="0" applyFont="0" applyFill="0" applyBorder="0" applyAlignment="0" applyProtection="0">
      <alignment vertical="center"/>
    </xf>
    <xf numFmtId="42" fontId="38" fillId="0" borderId="0" applyFont="0" applyFill="0" applyBorder="0" applyAlignment="0" applyProtection="0">
      <alignment vertical="center"/>
    </xf>
    <xf numFmtId="0" fontId="39" fillId="0" borderId="0" applyNumberFormat="0" applyFill="0" applyBorder="0" applyAlignment="0" applyProtection="0"/>
    <xf numFmtId="0" fontId="40" fillId="0" borderId="0" applyNumberFormat="0" applyFill="0" applyBorder="0" applyAlignment="0" applyProtection="0">
      <alignment vertical="center"/>
    </xf>
    <xf numFmtId="0" fontId="38" fillId="22" borderId="77" applyNumberFormat="0" applyFont="0" applyAlignment="0" applyProtection="0">
      <alignment vertical="center"/>
    </xf>
    <xf numFmtId="0" fontId="41"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78" applyNumberFormat="0" applyFill="0" applyAlignment="0" applyProtection="0">
      <alignment vertical="center"/>
    </xf>
    <xf numFmtId="0" fontId="45" fillId="0" borderId="78" applyNumberFormat="0" applyFill="0" applyAlignment="0" applyProtection="0">
      <alignment vertical="center"/>
    </xf>
    <xf numFmtId="0" fontId="46" fillId="0" borderId="79" applyNumberFormat="0" applyFill="0" applyAlignment="0" applyProtection="0">
      <alignment vertical="center"/>
    </xf>
    <xf numFmtId="0" fontId="46" fillId="0" borderId="0" applyNumberFormat="0" applyFill="0" applyBorder="0" applyAlignment="0" applyProtection="0">
      <alignment vertical="center"/>
    </xf>
    <xf numFmtId="0" fontId="47" fillId="23" borderId="80" applyNumberFormat="0" applyAlignment="0" applyProtection="0">
      <alignment vertical="center"/>
    </xf>
    <xf numFmtId="0" fontId="48" fillId="24" borderId="81" applyNumberFormat="0" applyAlignment="0" applyProtection="0">
      <alignment vertical="center"/>
    </xf>
    <xf numFmtId="0" fontId="49" fillId="24" borderId="80" applyNumberFormat="0" applyAlignment="0" applyProtection="0">
      <alignment vertical="center"/>
    </xf>
    <xf numFmtId="0" fontId="50" fillId="25" borderId="82" applyNumberFormat="0" applyAlignment="0" applyProtection="0">
      <alignment vertical="center"/>
    </xf>
    <xf numFmtId="0" fontId="51" fillId="0" borderId="83" applyNumberFormat="0" applyFill="0" applyAlignment="0" applyProtection="0">
      <alignment vertical="center"/>
    </xf>
    <xf numFmtId="0" fontId="52" fillId="0" borderId="84" applyNumberFormat="0" applyFill="0" applyAlignment="0" applyProtection="0">
      <alignment vertical="center"/>
    </xf>
    <xf numFmtId="0" fontId="53"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6" fillId="29" borderId="0" applyNumberFormat="0" applyBorder="0" applyAlignment="0" applyProtection="0">
      <alignment vertical="center"/>
    </xf>
    <xf numFmtId="0" fontId="57" fillId="30" borderId="0" applyNumberFormat="0" applyBorder="0" applyAlignment="0" applyProtection="0">
      <alignment vertical="center"/>
    </xf>
    <xf numFmtId="0" fontId="57" fillId="31" borderId="0" applyNumberFormat="0" applyBorder="0" applyAlignment="0" applyProtection="0">
      <alignment vertical="center"/>
    </xf>
    <xf numFmtId="0" fontId="56" fillId="32" borderId="0" applyNumberFormat="0" applyBorder="0" applyAlignment="0" applyProtection="0">
      <alignment vertical="center"/>
    </xf>
    <xf numFmtId="0" fontId="56" fillId="33" borderId="0" applyNumberFormat="0" applyBorder="0" applyAlignment="0" applyProtection="0">
      <alignment vertical="center"/>
    </xf>
    <xf numFmtId="0" fontId="57" fillId="34" borderId="0" applyNumberFormat="0" applyBorder="0" applyAlignment="0" applyProtection="0">
      <alignment vertical="center"/>
    </xf>
    <xf numFmtId="0" fontId="57" fillId="35" borderId="0" applyNumberFormat="0" applyBorder="0" applyAlignment="0" applyProtection="0">
      <alignment vertical="center"/>
    </xf>
    <xf numFmtId="0" fontId="56" fillId="36" borderId="0" applyNumberFormat="0" applyBorder="0" applyAlignment="0" applyProtection="0">
      <alignment vertical="center"/>
    </xf>
    <xf numFmtId="0" fontId="56" fillId="37" borderId="0" applyNumberFormat="0" applyBorder="0" applyAlignment="0" applyProtection="0">
      <alignment vertical="center"/>
    </xf>
    <xf numFmtId="0" fontId="57" fillId="38" borderId="0" applyNumberFormat="0" applyBorder="0" applyAlignment="0" applyProtection="0">
      <alignment vertical="center"/>
    </xf>
    <xf numFmtId="0" fontId="57" fillId="39" borderId="0" applyNumberFormat="0" applyBorder="0" applyAlignment="0" applyProtection="0">
      <alignment vertical="center"/>
    </xf>
    <xf numFmtId="0" fontId="56" fillId="40" borderId="0" applyNumberFormat="0" applyBorder="0" applyAlignment="0" applyProtection="0">
      <alignment vertical="center"/>
    </xf>
    <xf numFmtId="0" fontId="56" fillId="41" borderId="0" applyNumberFormat="0" applyBorder="0" applyAlignment="0" applyProtection="0">
      <alignment vertical="center"/>
    </xf>
    <xf numFmtId="0" fontId="57" fillId="42" borderId="0" applyNumberFormat="0" applyBorder="0" applyAlignment="0" applyProtection="0">
      <alignment vertical="center"/>
    </xf>
    <xf numFmtId="0" fontId="57" fillId="43" borderId="0" applyNumberFormat="0" applyBorder="0" applyAlignment="0" applyProtection="0">
      <alignment vertical="center"/>
    </xf>
    <xf numFmtId="0" fontId="56" fillId="44" borderId="0" applyNumberFormat="0" applyBorder="0" applyAlignment="0" applyProtection="0">
      <alignment vertical="center"/>
    </xf>
    <xf numFmtId="0" fontId="56" fillId="45" borderId="0" applyNumberFormat="0" applyBorder="0" applyAlignment="0" applyProtection="0">
      <alignment vertical="center"/>
    </xf>
    <xf numFmtId="0" fontId="57" fillId="46" borderId="0" applyNumberFormat="0" applyBorder="0" applyAlignment="0" applyProtection="0">
      <alignment vertical="center"/>
    </xf>
    <xf numFmtId="0" fontId="57" fillId="47" borderId="0" applyNumberFormat="0" applyBorder="0" applyAlignment="0" applyProtection="0">
      <alignment vertical="center"/>
    </xf>
    <xf numFmtId="0" fontId="56" fillId="48" borderId="0" applyNumberFormat="0" applyBorder="0" applyAlignment="0" applyProtection="0">
      <alignment vertical="center"/>
    </xf>
    <xf numFmtId="0" fontId="56" fillId="49" borderId="0" applyNumberFormat="0" applyBorder="0" applyAlignment="0" applyProtection="0">
      <alignment vertical="center"/>
    </xf>
    <xf numFmtId="0" fontId="57" fillId="50" borderId="0" applyNumberFormat="0" applyBorder="0" applyAlignment="0" applyProtection="0">
      <alignment vertical="center"/>
    </xf>
    <xf numFmtId="0" fontId="57" fillId="51" borderId="0" applyNumberFormat="0" applyBorder="0" applyAlignment="0" applyProtection="0">
      <alignment vertical="center"/>
    </xf>
    <xf numFmtId="0" fontId="56" fillId="52" borderId="0" applyNumberFormat="0" applyBorder="0" applyAlignment="0" applyProtection="0">
      <alignment vertical="center"/>
    </xf>
    <xf numFmtId="0" fontId="58" fillId="0" borderId="0" applyNumberFormat="0" applyFill="0" applyBorder="0" applyAlignment="0" applyProtection="0"/>
    <xf numFmtId="0" fontId="59" fillId="0" borderId="0"/>
    <xf numFmtId="176" fontId="60" fillId="0" borderId="0">
      <alignment vertical="center"/>
    </xf>
    <xf numFmtId="0" fontId="61" fillId="0" borderId="0"/>
    <xf numFmtId="0" fontId="38" fillId="0" borderId="0"/>
    <xf numFmtId="0" fontId="38" fillId="0" borderId="0"/>
    <xf numFmtId="0" fontId="62" fillId="0" borderId="0">
      <alignment vertical="center"/>
    </xf>
    <xf numFmtId="0" fontId="38" fillId="0" borderId="0"/>
    <xf numFmtId="176" fontId="63" fillId="0" borderId="0"/>
    <xf numFmtId="0" fontId="63" fillId="0" borderId="0"/>
    <xf numFmtId="0" fontId="63" fillId="0" borderId="0"/>
    <xf numFmtId="0" fontId="63" fillId="0" borderId="0"/>
  </cellStyleXfs>
  <cellXfs count="562">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vertical="center" wrapText="1"/>
    </xf>
    <xf numFmtId="0" fontId="1"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0" fontId="3" fillId="4" borderId="8" xfId="0" applyFont="1" applyFill="1" applyBorder="1" applyAlignment="1">
      <alignment vertical="center"/>
    </xf>
    <xf numFmtId="0" fontId="3" fillId="4" borderId="8" xfId="0" applyFont="1" applyFill="1" applyBorder="1" applyAlignment="1">
      <alignment vertical="center" wrapText="1"/>
    </xf>
    <xf numFmtId="0" fontId="3" fillId="4" borderId="9" xfId="0" applyFont="1" applyFill="1" applyBorder="1" applyAlignment="1">
      <alignment vertical="center" wrapText="1"/>
    </xf>
    <xf numFmtId="0" fontId="3" fillId="4" borderId="10"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5" borderId="11" xfId="0" applyFont="1" applyFill="1" applyBorder="1" applyAlignment="1">
      <alignment horizontal="center" vertical="center" wrapText="1"/>
    </xf>
    <xf numFmtId="0" fontId="3" fillId="5" borderId="10" xfId="0" applyFont="1" applyFill="1" applyBorder="1" applyAlignment="1">
      <alignment horizontal="center" vertical="center" wrapText="1"/>
    </xf>
    <xf numFmtId="0" fontId="1" fillId="3" borderId="12" xfId="0" applyFont="1" applyFill="1" applyBorder="1" applyAlignment="1">
      <alignment horizontal="center" vertical="center"/>
    </xf>
    <xf numFmtId="0" fontId="0" fillId="2" borderId="8" xfId="0" applyFill="1" applyBorder="1" applyAlignment="1">
      <alignment vertical="center"/>
    </xf>
    <xf numFmtId="0" fontId="0" fillId="2" borderId="8" xfId="0" applyFill="1" applyBorder="1" applyAlignment="1">
      <alignment vertical="center" wrapText="1"/>
    </xf>
    <xf numFmtId="0" fontId="0" fillId="2" borderId="9" xfId="0" applyFill="1" applyBorder="1" applyAlignment="1">
      <alignment vertical="center" wrapText="1"/>
    </xf>
    <xf numFmtId="49" fontId="0" fillId="2" borderId="13" xfId="0" applyNumberFormat="1" applyFill="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4" fillId="2" borderId="13" xfId="0" applyFont="1" applyFill="1" applyBorder="1"/>
    <xf numFmtId="0" fontId="4" fillId="2" borderId="8" xfId="0" applyFont="1" applyFill="1" applyBorder="1" applyAlignment="1">
      <alignment horizontal="center"/>
    </xf>
    <xf numFmtId="0" fontId="4" fillId="2" borderId="14" xfId="0" applyFont="1" applyFill="1" applyBorder="1" applyAlignment="1">
      <alignment horizontal="center"/>
    </xf>
    <xf numFmtId="0" fontId="0" fillId="2" borderId="13" xfId="0" applyFill="1" applyBorder="1" applyAlignment="1">
      <alignment horizontal="center" vertical="center"/>
    </xf>
    <xf numFmtId="0" fontId="1" fillId="3" borderId="15" xfId="0" applyFont="1" applyFill="1" applyBorder="1" applyAlignment="1">
      <alignment horizontal="center" vertical="center"/>
    </xf>
    <xf numFmtId="49" fontId="0" fillId="2" borderId="16" xfId="0" applyNumberFormat="1" applyFill="1" applyBorder="1" applyAlignment="1">
      <alignment horizontal="center" vertical="center"/>
    </xf>
    <xf numFmtId="0" fontId="0" fillId="2" borderId="17" xfId="0" applyFill="1" applyBorder="1" applyAlignment="1">
      <alignment horizontal="center" vertical="center"/>
    </xf>
    <xf numFmtId="0" fontId="0" fillId="2" borderId="18" xfId="0" applyFill="1" applyBorder="1" applyAlignment="1">
      <alignment horizontal="center" vertical="center"/>
    </xf>
    <xf numFmtId="0" fontId="4" fillId="2" borderId="16" xfId="0" applyFont="1" applyFill="1" applyBorder="1"/>
    <xf numFmtId="0" fontId="4" fillId="2" borderId="17" xfId="0" applyFont="1" applyFill="1" applyBorder="1" applyAlignment="1">
      <alignment horizontal="center"/>
    </xf>
    <xf numFmtId="0" fontId="4" fillId="2" borderId="19" xfId="0" applyFont="1" applyFill="1" applyBorder="1" applyAlignment="1">
      <alignment horizontal="center"/>
    </xf>
    <xf numFmtId="0" fontId="0" fillId="2" borderId="16" xfId="0" applyFill="1" applyBorder="1" applyAlignment="1">
      <alignment horizontal="center" vertical="center"/>
    </xf>
    <xf numFmtId="0" fontId="1" fillId="3" borderId="20" xfId="0" applyFont="1" applyFill="1" applyBorder="1" applyAlignment="1">
      <alignment horizontal="center" vertical="center"/>
    </xf>
    <xf numFmtId="0" fontId="0" fillId="2" borderId="17" xfId="0" applyFill="1" applyBorder="1" applyAlignment="1">
      <alignment vertical="center"/>
    </xf>
    <xf numFmtId="0" fontId="0" fillId="2" borderId="17" xfId="0" applyFill="1" applyBorder="1" applyAlignment="1">
      <alignment vertical="center" wrapText="1"/>
    </xf>
    <xf numFmtId="0" fontId="0" fillId="2" borderId="18" xfId="0" applyFill="1" applyBorder="1" applyAlignment="1">
      <alignment vertical="center" wrapText="1"/>
    </xf>
    <xf numFmtId="0" fontId="5" fillId="6" borderId="0" xfId="53" applyFont="1" applyFill="1" applyAlignment="1">
      <alignment vertical="center" wrapText="1"/>
    </xf>
    <xf numFmtId="0" fontId="5" fillId="6" borderId="0" xfId="53" applyFont="1" applyFill="1"/>
    <xf numFmtId="0" fontId="6" fillId="7" borderId="21" xfId="53" applyFont="1" applyFill="1" applyBorder="1" applyAlignment="1">
      <alignment horizontal="center" vertical="center"/>
    </xf>
    <xf numFmtId="0" fontId="6" fillId="7" borderId="22" xfId="53" applyFont="1" applyFill="1" applyBorder="1" applyAlignment="1">
      <alignment horizontal="center" vertical="center"/>
    </xf>
    <xf numFmtId="0" fontId="7" fillId="2" borderId="23" xfId="53" applyFont="1" applyFill="1" applyBorder="1" applyAlignment="1">
      <alignment horizontal="left" vertical="center" wrapText="1"/>
    </xf>
    <xf numFmtId="0" fontId="7" fillId="2" borderId="24" xfId="53" applyFont="1" applyFill="1" applyBorder="1" applyAlignment="1">
      <alignment horizontal="left" vertical="center" wrapText="1"/>
    </xf>
    <xf numFmtId="0" fontId="8" fillId="8" borderId="23" xfId="53" applyFont="1" applyFill="1" applyBorder="1" applyAlignment="1">
      <alignment horizontal="center" vertical="center" wrapText="1"/>
    </xf>
    <xf numFmtId="0" fontId="8" fillId="8" borderId="24" xfId="53" applyFont="1" applyFill="1" applyBorder="1" applyAlignment="1">
      <alignment horizontal="center" vertical="center" wrapText="1"/>
    </xf>
    <xf numFmtId="0" fontId="9" fillId="2" borderId="23" xfId="53" applyFont="1" applyFill="1" applyBorder="1" applyAlignment="1">
      <alignment vertical="center" wrapText="1"/>
    </xf>
    <xf numFmtId="0" fontId="7" fillId="2" borderId="24" xfId="53" applyFont="1" applyFill="1" applyBorder="1" applyAlignment="1">
      <alignment vertical="center" wrapText="1"/>
    </xf>
    <xf numFmtId="0" fontId="7" fillId="2" borderId="24" xfId="53" applyFont="1" applyFill="1" applyBorder="1" applyAlignment="1">
      <alignment horizontal="justify" vertical="center" wrapText="1"/>
    </xf>
    <xf numFmtId="0" fontId="7" fillId="0" borderId="25" xfId="53" applyFont="1" applyBorder="1" applyAlignment="1">
      <alignment vertical="center" wrapText="1"/>
    </xf>
    <xf numFmtId="0" fontId="9" fillId="0" borderId="23" xfId="53" applyFont="1" applyBorder="1" applyAlignment="1">
      <alignment vertical="center" wrapText="1"/>
    </xf>
    <xf numFmtId="0" fontId="7" fillId="0" borderId="24" xfId="53" applyFont="1" applyBorder="1" applyAlignment="1">
      <alignment vertical="center" wrapText="1"/>
    </xf>
    <xf numFmtId="0" fontId="5" fillId="2" borderId="23" xfId="53" applyFont="1" applyFill="1" applyBorder="1"/>
    <xf numFmtId="0" fontId="5" fillId="2" borderId="24" xfId="53" applyFont="1" applyFill="1" applyBorder="1"/>
    <xf numFmtId="0" fontId="6" fillId="7" borderId="26" xfId="53" applyFont="1" applyFill="1" applyBorder="1" applyAlignment="1">
      <alignment horizontal="center" vertical="center"/>
    </xf>
    <xf numFmtId="0" fontId="6" fillId="7" borderId="27" xfId="53" applyFont="1" applyFill="1" applyBorder="1" applyAlignment="1">
      <alignment horizontal="center" vertical="center"/>
    </xf>
    <xf numFmtId="0" fontId="10" fillId="2" borderId="23" xfId="53" applyFont="1" applyFill="1" applyBorder="1" applyAlignment="1">
      <alignment horizontal="left" vertical="top" wrapText="1"/>
    </xf>
    <xf numFmtId="0" fontId="7" fillId="2" borderId="24" xfId="53" applyFont="1" applyFill="1" applyBorder="1" applyAlignment="1">
      <alignment horizontal="left" vertical="top" wrapText="1"/>
    </xf>
    <xf numFmtId="0" fontId="11" fillId="2" borderId="24" xfId="53" applyFont="1" applyFill="1" applyBorder="1" applyAlignment="1">
      <alignment vertical="center" wrapText="1"/>
    </xf>
    <xf numFmtId="0" fontId="12" fillId="6" borderId="0" xfId="53" applyFont="1" applyFill="1"/>
    <xf numFmtId="0" fontId="4" fillId="2" borderId="0" xfId="0" applyFont="1" applyFill="1"/>
    <xf numFmtId="0" fontId="4" fillId="2" borderId="0" xfId="0" applyFont="1" applyFill="1" applyAlignment="1">
      <alignment vertical="center"/>
    </xf>
    <xf numFmtId="0" fontId="13" fillId="3" borderId="10" xfId="0" applyFont="1" applyFill="1" applyBorder="1" applyAlignment="1">
      <alignment horizontal="center" vertical="center"/>
    </xf>
    <xf numFmtId="0" fontId="13" fillId="3" borderId="2" xfId="0" applyFont="1" applyFill="1" applyBorder="1" applyAlignment="1">
      <alignment horizontal="center" vertical="center"/>
    </xf>
    <xf numFmtId="0" fontId="14" fillId="2" borderId="11" xfId="0" applyFont="1" applyFill="1" applyBorder="1" applyAlignment="1">
      <alignment horizontal="center" vertical="center"/>
    </xf>
    <xf numFmtId="0" fontId="14" fillId="2" borderId="28" xfId="0" applyFont="1" applyFill="1" applyBorder="1" applyAlignment="1">
      <alignment horizontal="center" vertical="center"/>
    </xf>
    <xf numFmtId="0" fontId="14" fillId="2" borderId="29" xfId="0" applyFont="1" applyFill="1" applyBorder="1" applyAlignment="1">
      <alignment horizontal="center" vertical="center"/>
    </xf>
    <xf numFmtId="0" fontId="13" fillId="3" borderId="13" xfId="0" applyFont="1" applyFill="1" applyBorder="1" applyAlignment="1">
      <alignment horizontal="center" vertical="center"/>
    </xf>
    <xf numFmtId="0" fontId="13" fillId="3" borderId="8"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1" xfId="0" applyFont="1" applyFill="1" applyBorder="1" applyAlignment="1">
      <alignment horizontal="center" vertical="center"/>
    </xf>
    <xf numFmtId="0" fontId="15" fillId="2" borderId="32" xfId="0" applyFont="1" applyFill="1" applyBorder="1" applyAlignment="1">
      <alignment horizontal="center" vertical="center"/>
    </xf>
    <xf numFmtId="0" fontId="13" fillId="3" borderId="16" xfId="0" applyFont="1" applyFill="1" applyBorder="1" applyAlignment="1">
      <alignment horizontal="center" vertical="center"/>
    </xf>
    <xf numFmtId="0" fontId="13" fillId="3" borderId="17" xfId="0" applyFont="1" applyFill="1" applyBorder="1" applyAlignment="1">
      <alignment horizontal="center" vertical="center"/>
    </xf>
    <xf numFmtId="0" fontId="14" fillId="2" borderId="33" xfId="0" applyFont="1" applyFill="1" applyBorder="1" applyAlignment="1">
      <alignment horizontal="center" vertical="center"/>
    </xf>
    <xf numFmtId="0" fontId="14" fillId="2" borderId="34" xfId="0" applyFont="1" applyFill="1" applyBorder="1" applyAlignment="1">
      <alignment horizontal="center" vertical="center"/>
    </xf>
    <xf numFmtId="0" fontId="14" fillId="2" borderId="35" xfId="0" applyFont="1" applyFill="1" applyBorder="1" applyAlignment="1">
      <alignment horizontal="center" vertical="center"/>
    </xf>
    <xf numFmtId="0" fontId="16" fillId="2" borderId="0" xfId="0" applyFont="1" applyFill="1" applyAlignment="1">
      <alignment vertical="center"/>
    </xf>
    <xf numFmtId="0" fontId="4" fillId="2" borderId="0" xfId="0" applyFont="1" applyFill="1" applyAlignment="1">
      <alignment horizontal="center" vertical="center"/>
    </xf>
    <xf numFmtId="0" fontId="4" fillId="2" borderId="0" xfId="0" applyFont="1" applyFill="1" applyAlignment="1">
      <alignment horizontal="center"/>
    </xf>
    <xf numFmtId="0" fontId="13" fillId="3" borderId="36" xfId="0" applyFont="1" applyFill="1" applyBorder="1" applyAlignment="1">
      <alignment horizontal="center" vertical="center"/>
    </xf>
    <xf numFmtId="0" fontId="13" fillId="3" borderId="37" xfId="0" applyFont="1" applyFill="1" applyBorder="1" applyAlignment="1">
      <alignment horizontal="center" vertical="center"/>
    </xf>
    <xf numFmtId="0" fontId="13" fillId="3" borderId="38" xfId="0" applyFont="1" applyFill="1" applyBorder="1" applyAlignment="1">
      <alignment horizontal="center" vertical="center"/>
    </xf>
    <xf numFmtId="0" fontId="16" fillId="4" borderId="13" xfId="0" applyFont="1" applyFill="1" applyBorder="1" applyAlignment="1">
      <alignment horizontal="center" vertical="center"/>
    </xf>
    <xf numFmtId="0" fontId="16" fillId="4" borderId="8" xfId="0" applyFont="1" applyFill="1" applyBorder="1" applyAlignment="1">
      <alignment horizontal="center" vertical="center"/>
    </xf>
    <xf numFmtId="0" fontId="16" fillId="4" borderId="9" xfId="0" applyFont="1" applyFill="1" applyBorder="1" applyAlignment="1">
      <alignment horizontal="center" vertical="center"/>
    </xf>
    <xf numFmtId="0" fontId="4" fillId="2" borderId="13" xfId="54" applyFont="1" applyFill="1" applyBorder="1" applyAlignment="1">
      <alignment horizontal="center" vertical="center" wrapText="1"/>
    </xf>
    <xf numFmtId="0" fontId="4" fillId="2" borderId="8" xfId="54" applyFont="1" applyFill="1" applyBorder="1" applyAlignment="1">
      <alignment vertical="center" wrapText="1"/>
    </xf>
    <xf numFmtId="0" fontId="4" fillId="2" borderId="8" xfId="54" applyFont="1" applyFill="1" applyBorder="1" applyAlignment="1" applyProtection="1">
      <alignment horizontal="center" vertical="center" wrapText="1"/>
      <protection locked="0"/>
    </xf>
    <xf numFmtId="0" fontId="4" fillId="2" borderId="8" xfId="54" applyFont="1" applyFill="1" applyBorder="1" applyAlignment="1" applyProtection="1">
      <alignment vertical="center" wrapText="1"/>
      <protection locked="0"/>
    </xf>
    <xf numFmtId="0" fontId="4" fillId="2" borderId="8" xfId="54" applyFont="1" applyFill="1" applyBorder="1" applyAlignment="1">
      <alignment horizontal="center" vertical="center" wrapText="1"/>
    </xf>
    <xf numFmtId="0" fontId="17" fillId="2" borderId="8" xfId="50" applyFont="1" applyFill="1" applyBorder="1" applyAlignment="1" applyProtection="1">
      <alignment horizontal="center" vertical="center" wrapText="1"/>
      <protection locked="0"/>
    </xf>
    <xf numFmtId="0" fontId="4" fillId="2" borderId="8" xfId="50" applyFont="1" applyFill="1" applyBorder="1" applyAlignment="1" applyProtection="1">
      <alignment vertical="center" wrapText="1"/>
      <protection locked="0"/>
    </xf>
    <xf numFmtId="14" fontId="4" fillId="2" borderId="8" xfId="50" applyNumberFormat="1" applyFont="1" applyFill="1" applyBorder="1" applyAlignment="1" applyProtection="1">
      <alignment vertical="center" wrapText="1"/>
      <protection locked="0"/>
    </xf>
    <xf numFmtId="14" fontId="4" fillId="2" borderId="9" xfId="50" applyNumberFormat="1" applyFont="1" applyFill="1" applyBorder="1" applyAlignment="1" applyProtection="1">
      <alignment horizontal="center" vertical="center" wrapText="1"/>
      <protection locked="0"/>
    </xf>
    <xf numFmtId="0" fontId="18" fillId="2" borderId="8" xfId="50" applyFont="1" applyFill="1" applyBorder="1" applyAlignment="1" applyProtection="1">
      <alignment horizontal="center" vertical="center" wrapText="1"/>
      <protection locked="0"/>
    </xf>
    <xf numFmtId="0" fontId="4" fillId="2" borderId="8" xfId="54" applyFont="1" applyFill="1" applyBorder="1" applyAlignment="1" applyProtection="1">
      <alignment horizontal="left" vertical="center" wrapText="1"/>
      <protection locked="0"/>
    </xf>
    <xf numFmtId="0" fontId="4" fillId="2" borderId="8" xfId="0" applyFont="1" applyFill="1" applyBorder="1"/>
    <xf numFmtId="0" fontId="4" fillId="2" borderId="9" xfId="0" applyFont="1" applyFill="1" applyBorder="1"/>
    <xf numFmtId="0" fontId="4" fillId="2" borderId="16" xfId="54" applyFont="1" applyFill="1" applyBorder="1" applyAlignment="1">
      <alignment horizontal="center" vertical="center" wrapText="1"/>
    </xf>
    <xf numFmtId="0" fontId="4" fillId="2" borderId="17" xfId="54" applyFont="1" applyFill="1" applyBorder="1" applyAlignment="1">
      <alignment vertical="center" wrapText="1"/>
    </xf>
    <xf numFmtId="0" fontId="4" fillId="2" borderId="17" xfId="54" applyFont="1" applyFill="1" applyBorder="1" applyAlignment="1" applyProtection="1">
      <alignment horizontal="center" vertical="center" wrapText="1"/>
      <protection locked="0"/>
    </xf>
    <xf numFmtId="0" fontId="4" fillId="2" borderId="17" xfId="54" applyFont="1" applyFill="1" applyBorder="1" applyAlignment="1" applyProtection="1">
      <alignment vertical="center" wrapText="1"/>
      <protection locked="0"/>
    </xf>
    <xf numFmtId="0" fontId="4" fillId="2" borderId="17" xfId="54" applyFont="1" applyFill="1" applyBorder="1" applyAlignment="1">
      <alignment horizontal="center" vertical="center" wrapText="1"/>
    </xf>
    <xf numFmtId="0" fontId="17" fillId="2" borderId="17" xfId="50" applyFont="1" applyFill="1" applyBorder="1" applyAlignment="1" applyProtection="1">
      <alignment horizontal="center" vertical="center" wrapText="1"/>
      <protection locked="0"/>
    </xf>
    <xf numFmtId="0" fontId="4" fillId="2" borderId="17" xfId="50" applyFont="1" applyFill="1" applyBorder="1" applyAlignment="1" applyProtection="1">
      <alignment vertical="center" wrapText="1"/>
      <protection locked="0"/>
    </xf>
    <xf numFmtId="0" fontId="4" fillId="2" borderId="17" xfId="0" applyFont="1" applyFill="1" applyBorder="1"/>
    <xf numFmtId="0" fontId="4" fillId="2" borderId="18" xfId="0" applyFont="1" applyFill="1" applyBorder="1"/>
    <xf numFmtId="0" fontId="19" fillId="4" borderId="4" xfId="0" applyFont="1" applyFill="1" applyBorder="1" applyAlignment="1">
      <alignment horizontal="center" vertical="center"/>
    </xf>
    <xf numFmtId="0" fontId="19" fillId="4" borderId="5" xfId="0" applyFont="1" applyFill="1" applyBorder="1" applyAlignment="1">
      <alignment horizontal="center" vertical="center"/>
    </xf>
    <xf numFmtId="0" fontId="19" fillId="4" borderId="6" xfId="0" applyFont="1" applyFill="1" applyBorder="1" applyAlignment="1">
      <alignment horizontal="center" vertical="center"/>
    </xf>
    <xf numFmtId="0" fontId="20" fillId="3" borderId="10" xfId="0" applyFont="1" applyFill="1" applyBorder="1" applyAlignment="1">
      <alignment horizontal="center" vertical="center"/>
    </xf>
    <xf numFmtId="0" fontId="20" fillId="3" borderId="2" xfId="0" applyFont="1" applyFill="1" applyBorder="1" applyAlignment="1">
      <alignment horizontal="center" vertical="center"/>
    </xf>
    <xf numFmtId="0" fontId="19" fillId="2" borderId="11" xfId="0" applyFont="1" applyFill="1" applyBorder="1" applyAlignment="1">
      <alignment horizontal="center" vertical="center"/>
    </xf>
    <xf numFmtId="0" fontId="19" fillId="2" borderId="28" xfId="0" applyFont="1" applyFill="1" applyBorder="1" applyAlignment="1">
      <alignment horizontal="center" vertical="center"/>
    </xf>
    <xf numFmtId="0" fontId="19" fillId="2" borderId="29" xfId="0" applyFont="1" applyFill="1" applyBorder="1" applyAlignment="1">
      <alignment horizontal="center" vertical="center"/>
    </xf>
    <xf numFmtId="0" fontId="20" fillId="3" borderId="13" xfId="0" applyFont="1" applyFill="1" applyBorder="1" applyAlignment="1">
      <alignment horizontal="center" vertical="center"/>
    </xf>
    <xf numFmtId="0" fontId="20" fillId="3" borderId="8" xfId="0" applyFont="1" applyFill="1" applyBorder="1" applyAlignment="1">
      <alignment horizontal="center" vertical="center"/>
    </xf>
    <xf numFmtId="0" fontId="19" fillId="2" borderId="14" xfId="0" applyFont="1" applyFill="1" applyBorder="1" applyAlignment="1">
      <alignment horizontal="center" vertical="center"/>
    </xf>
    <xf numFmtId="0" fontId="19" fillId="2" borderId="39" xfId="0" applyFont="1" applyFill="1" applyBorder="1" applyAlignment="1">
      <alignment horizontal="center" vertical="center"/>
    </xf>
    <xf numFmtId="0" fontId="19" fillId="2" borderId="40" xfId="0" applyFont="1" applyFill="1" applyBorder="1" applyAlignment="1">
      <alignment horizontal="center" vertical="center"/>
    </xf>
    <xf numFmtId="177" fontId="19" fillId="2" borderId="14" xfId="0" applyNumberFormat="1" applyFont="1" applyFill="1" applyBorder="1" applyAlignment="1">
      <alignment horizontal="center" vertical="center"/>
    </xf>
    <xf numFmtId="177" fontId="19" fillId="2" borderId="39" xfId="0" applyNumberFormat="1" applyFont="1" applyFill="1" applyBorder="1" applyAlignment="1">
      <alignment horizontal="center" vertical="center"/>
    </xf>
    <xf numFmtId="177" fontId="19" fillId="2" borderId="40" xfId="0" applyNumberFormat="1" applyFont="1" applyFill="1" applyBorder="1" applyAlignment="1">
      <alignment horizontal="center" vertical="center"/>
    </xf>
    <xf numFmtId="0" fontId="20" fillId="3" borderId="7" xfId="0" applyFont="1" applyFill="1" applyBorder="1" applyAlignment="1">
      <alignment horizontal="center" vertical="center"/>
    </xf>
    <xf numFmtId="0" fontId="20" fillId="3" borderId="41" xfId="0" applyFont="1" applyFill="1" applyBorder="1" applyAlignment="1">
      <alignment horizontal="center" vertical="center"/>
    </xf>
    <xf numFmtId="0" fontId="20" fillId="3" borderId="42" xfId="0" applyFont="1" applyFill="1" applyBorder="1" applyAlignment="1">
      <alignment horizontal="center" vertical="center"/>
    </xf>
    <xf numFmtId="0" fontId="20" fillId="3" borderId="43" xfId="0" applyFont="1" applyFill="1" applyBorder="1" applyAlignment="1">
      <alignment horizontal="center" vertical="center"/>
    </xf>
    <xf numFmtId="0" fontId="19" fillId="2" borderId="19" xfId="0" applyFont="1" applyFill="1" applyBorder="1" applyAlignment="1">
      <alignment horizontal="center" vertical="center"/>
    </xf>
    <xf numFmtId="0" fontId="19" fillId="2" borderId="44" xfId="0" applyFont="1" applyFill="1" applyBorder="1" applyAlignment="1">
      <alignment horizontal="center" vertical="center"/>
    </xf>
    <xf numFmtId="0" fontId="19" fillId="2" borderId="45" xfId="0" applyFont="1" applyFill="1" applyBorder="1" applyAlignment="1">
      <alignment horizontal="center" vertical="center"/>
    </xf>
    <xf numFmtId="0" fontId="16" fillId="2" borderId="0" xfId="0" applyFont="1" applyFill="1" applyAlignment="1">
      <alignment horizontal="left" vertical="center"/>
    </xf>
    <xf numFmtId="0" fontId="21" fillId="3" borderId="46" xfId="59" applyFont="1" applyFill="1" applyBorder="1" applyAlignment="1">
      <alignment horizontal="center" vertical="center" wrapText="1"/>
    </xf>
    <xf numFmtId="0" fontId="21" fillId="3" borderId="47" xfId="59" applyFont="1" applyFill="1" applyBorder="1" applyAlignment="1">
      <alignment horizontal="center" vertical="center" wrapText="1"/>
    </xf>
    <xf numFmtId="0" fontId="21" fillId="3" borderId="48" xfId="59" applyFont="1" applyFill="1" applyBorder="1" applyAlignment="1">
      <alignment horizontal="center" vertical="center" wrapText="1"/>
    </xf>
    <xf numFmtId="0" fontId="21" fillId="3" borderId="49" xfId="59" applyFont="1" applyFill="1" applyBorder="1" applyAlignment="1">
      <alignment horizontal="center" vertical="center" wrapText="1"/>
    </xf>
    <xf numFmtId="0" fontId="21" fillId="3" borderId="50" xfId="59" applyFont="1" applyFill="1" applyBorder="1" applyAlignment="1">
      <alignment horizontal="center" vertical="center" wrapText="1"/>
    </xf>
    <xf numFmtId="0" fontId="16" fillId="0" borderId="51" xfId="0" applyFont="1" applyBorder="1" applyAlignment="1">
      <alignment horizontal="center" vertical="center" wrapText="1"/>
    </xf>
    <xf numFmtId="0" fontId="4" fillId="0" borderId="11" xfId="0" applyFont="1" applyBorder="1" applyAlignment="1">
      <alignment vertical="center" wrapText="1"/>
    </xf>
    <xf numFmtId="0" fontId="4" fillId="0" borderId="52" xfId="0" applyFont="1" applyBorder="1" applyAlignment="1">
      <alignment vertical="center" wrapText="1"/>
    </xf>
    <xf numFmtId="0" fontId="16" fillId="0" borderId="2" xfId="0" applyFont="1" applyBorder="1" applyAlignment="1">
      <alignment horizontal="center" vertical="center"/>
    </xf>
    <xf numFmtId="0" fontId="22" fillId="9" borderId="3" xfId="59" applyFont="1" applyFill="1" applyBorder="1" applyAlignment="1">
      <alignment horizontal="center" vertical="center" wrapText="1"/>
    </xf>
    <xf numFmtId="0" fontId="16" fillId="2" borderId="32" xfId="0" applyFont="1" applyFill="1" applyBorder="1" applyAlignment="1">
      <alignment horizontal="center" vertical="center"/>
    </xf>
    <xf numFmtId="0" fontId="16" fillId="0" borderId="15" xfId="0" applyFont="1" applyBorder="1" applyAlignment="1">
      <alignment horizontal="center" vertical="center" wrapText="1"/>
    </xf>
    <xf numFmtId="0" fontId="23" fillId="0" borderId="14" xfId="0" applyFont="1" applyBorder="1" applyAlignment="1">
      <alignment vertical="center" wrapText="1"/>
    </xf>
    <xf numFmtId="0" fontId="4" fillId="0" borderId="41" xfId="0" applyFont="1" applyBorder="1" applyAlignment="1">
      <alignment vertical="center" wrapText="1"/>
    </xf>
    <xf numFmtId="0" fontId="16" fillId="0" borderId="8" xfId="0" applyFont="1" applyBorder="1" applyAlignment="1">
      <alignment horizontal="center" vertical="center"/>
    </xf>
    <xf numFmtId="0" fontId="22" fillId="9" borderId="9" xfId="59" applyFont="1" applyFill="1" applyBorder="1" applyAlignment="1">
      <alignment horizontal="center" vertical="center" wrapText="1"/>
    </xf>
    <xf numFmtId="0" fontId="16" fillId="2" borderId="40" xfId="0" applyFont="1" applyFill="1" applyBorder="1" applyAlignment="1">
      <alignment horizontal="center" vertical="center"/>
    </xf>
    <xf numFmtId="0" fontId="4" fillId="0" borderId="14" xfId="0" applyFont="1" applyBorder="1" applyAlignment="1">
      <alignment vertical="center" wrapText="1"/>
    </xf>
    <xf numFmtId="0" fontId="16" fillId="0" borderId="20" xfId="0" applyFont="1" applyBorder="1" applyAlignment="1">
      <alignment horizontal="center" vertical="center" wrapText="1"/>
    </xf>
    <xf numFmtId="0" fontId="4" fillId="0" borderId="19" xfId="0" applyFont="1" applyBorder="1" applyAlignment="1">
      <alignment vertical="center" wrapText="1"/>
    </xf>
    <xf numFmtId="0" fontId="4" fillId="0" borderId="43" xfId="0" applyFont="1" applyBorder="1" applyAlignment="1">
      <alignment vertical="center" wrapText="1"/>
    </xf>
    <xf numFmtId="0" fontId="16" fillId="0" borderId="17" xfId="0" applyFont="1" applyBorder="1" applyAlignment="1">
      <alignment horizontal="center" vertical="center"/>
    </xf>
    <xf numFmtId="0" fontId="22" fillId="9" borderId="18" xfId="59" applyFont="1" applyFill="1" applyBorder="1" applyAlignment="1">
      <alignment horizontal="center" vertical="center" wrapText="1"/>
    </xf>
    <xf numFmtId="0" fontId="16" fillId="10" borderId="51" xfId="0" applyFont="1" applyFill="1" applyBorder="1" applyAlignment="1">
      <alignment horizontal="center" vertical="center" wrapText="1"/>
    </xf>
    <xf numFmtId="0" fontId="4" fillId="10" borderId="11" xfId="0" applyFont="1" applyFill="1" applyBorder="1" applyAlignment="1">
      <alignment horizontal="left" vertical="center" wrapText="1"/>
    </xf>
    <xf numFmtId="0" fontId="4" fillId="10" borderId="52" xfId="0" applyFont="1" applyFill="1" applyBorder="1" applyAlignment="1">
      <alignment horizontal="left" vertical="center" wrapText="1"/>
    </xf>
    <xf numFmtId="0" fontId="16" fillId="10" borderId="2" xfId="0" applyFont="1" applyFill="1" applyBorder="1" applyAlignment="1">
      <alignment horizontal="center" vertical="center"/>
    </xf>
    <xf numFmtId="0" fontId="16" fillId="10" borderId="15" xfId="0" applyFont="1" applyFill="1" applyBorder="1" applyAlignment="1">
      <alignment horizontal="center" vertical="center" wrapText="1"/>
    </xf>
    <xf numFmtId="0" fontId="4" fillId="10" borderId="14" xfId="0" applyFont="1" applyFill="1" applyBorder="1" applyAlignment="1">
      <alignment horizontal="left" vertical="center" wrapText="1"/>
    </xf>
    <xf numFmtId="0" fontId="4" fillId="10" borderId="41" xfId="0" applyFont="1" applyFill="1" applyBorder="1" applyAlignment="1">
      <alignment horizontal="left" vertical="center" wrapText="1"/>
    </xf>
    <xf numFmtId="0" fontId="16" fillId="10" borderId="8" xfId="0" applyFont="1" applyFill="1" applyBorder="1" applyAlignment="1">
      <alignment horizontal="center" vertical="center"/>
    </xf>
    <xf numFmtId="0" fontId="16" fillId="10" borderId="20" xfId="0" applyFont="1" applyFill="1" applyBorder="1" applyAlignment="1">
      <alignment horizontal="center" vertical="center" wrapText="1"/>
    </xf>
    <xf numFmtId="0" fontId="4" fillId="10" borderId="19" xfId="0" applyFont="1" applyFill="1" applyBorder="1" applyAlignment="1">
      <alignment horizontal="left" vertical="center" wrapText="1"/>
    </xf>
    <xf numFmtId="0" fontId="4" fillId="10" borderId="43" xfId="0" applyFont="1" applyFill="1" applyBorder="1" applyAlignment="1">
      <alignment horizontal="left" vertical="center" wrapText="1"/>
    </xf>
    <xf numFmtId="0" fontId="16" fillId="10" borderId="17" xfId="0" applyFont="1" applyFill="1" applyBorder="1" applyAlignment="1">
      <alignment horizontal="center" vertical="center"/>
    </xf>
    <xf numFmtId="0" fontId="16" fillId="2" borderId="51" xfId="0" applyFont="1" applyFill="1" applyBorder="1" applyAlignment="1">
      <alignment horizontal="center" vertical="center" wrapText="1"/>
    </xf>
    <xf numFmtId="0" fontId="4" fillId="2" borderId="11" xfId="0" applyFont="1" applyFill="1" applyBorder="1" applyAlignment="1">
      <alignment horizontal="left" vertical="center" wrapText="1"/>
    </xf>
    <xf numFmtId="0" fontId="4" fillId="2" borderId="52" xfId="0" applyFont="1" applyFill="1" applyBorder="1" applyAlignment="1">
      <alignment horizontal="left" vertical="center" wrapText="1"/>
    </xf>
    <xf numFmtId="0" fontId="16" fillId="2" borderId="2" xfId="0" applyFont="1" applyFill="1" applyBorder="1" applyAlignment="1">
      <alignment horizontal="center" vertical="center"/>
    </xf>
    <xf numFmtId="0" fontId="22" fillId="9" borderId="53" xfId="59" applyFont="1" applyFill="1" applyBorder="1" applyAlignment="1">
      <alignment horizontal="center" vertical="center" wrapText="1"/>
    </xf>
    <xf numFmtId="0" fontId="16" fillId="2" borderId="15" xfId="0" applyFont="1" applyFill="1" applyBorder="1" applyAlignment="1">
      <alignment horizontal="center" vertical="center" wrapText="1"/>
    </xf>
    <xf numFmtId="0" fontId="4" fillId="2" borderId="14" xfId="0" applyFont="1" applyFill="1" applyBorder="1" applyAlignment="1">
      <alignment horizontal="left" vertical="center" wrapText="1"/>
    </xf>
    <xf numFmtId="0" fontId="4" fillId="2" borderId="41" xfId="0" applyFont="1" applyFill="1" applyBorder="1" applyAlignment="1">
      <alignment horizontal="left" vertical="center" wrapText="1"/>
    </xf>
    <xf numFmtId="0" fontId="16" fillId="2" borderId="8" xfId="0" applyFont="1" applyFill="1" applyBorder="1" applyAlignment="1">
      <alignment horizontal="center" vertical="center"/>
    </xf>
    <xf numFmtId="0" fontId="22" fillId="9" borderId="54" xfId="59" applyFont="1" applyFill="1" applyBorder="1" applyAlignment="1">
      <alignment horizontal="center" vertical="center" wrapText="1"/>
    </xf>
    <xf numFmtId="0" fontId="23" fillId="2" borderId="14" xfId="0" applyFont="1" applyFill="1" applyBorder="1" applyAlignment="1">
      <alignment horizontal="left" vertical="center" wrapText="1"/>
    </xf>
    <xf numFmtId="0" fontId="16" fillId="2" borderId="20" xfId="0" applyFont="1" applyFill="1" applyBorder="1" applyAlignment="1">
      <alignment horizontal="center" vertical="center" wrapText="1"/>
    </xf>
    <xf numFmtId="0" fontId="23" fillId="2" borderId="19" xfId="0" applyFont="1" applyFill="1" applyBorder="1" applyAlignment="1">
      <alignment horizontal="left" vertical="center" wrapText="1"/>
    </xf>
    <xf numFmtId="0" fontId="4" fillId="2" borderId="43" xfId="0" applyFont="1" applyFill="1" applyBorder="1" applyAlignment="1">
      <alignment horizontal="left" vertical="center" wrapText="1"/>
    </xf>
    <xf numFmtId="0" fontId="16" fillId="2" borderId="17" xfId="0" applyFont="1" applyFill="1" applyBorder="1" applyAlignment="1">
      <alignment horizontal="center" vertical="center"/>
    </xf>
    <xf numFmtId="0" fontId="22" fillId="9" borderId="55" xfId="59" applyFont="1" applyFill="1" applyBorder="1" applyAlignment="1">
      <alignment horizontal="center" vertical="center" wrapText="1"/>
    </xf>
    <xf numFmtId="0" fontId="16" fillId="10" borderId="10" xfId="0" applyFont="1" applyFill="1" applyBorder="1" applyAlignment="1">
      <alignment horizontal="center" vertical="center"/>
    </xf>
    <xf numFmtId="0" fontId="22" fillId="9" borderId="53" xfId="0" applyFont="1" applyFill="1" applyBorder="1" applyAlignment="1">
      <alignment horizontal="center" vertical="center"/>
    </xf>
    <xf numFmtId="0" fontId="16" fillId="10" borderId="16" xfId="0" applyFont="1" applyFill="1" applyBorder="1" applyAlignment="1">
      <alignment horizontal="center" vertical="center"/>
    </xf>
    <xf numFmtId="0" fontId="22" fillId="9" borderId="55" xfId="0" applyFont="1" applyFill="1" applyBorder="1" applyAlignment="1">
      <alignment horizontal="center" vertical="center"/>
    </xf>
    <xf numFmtId="0" fontId="16" fillId="2" borderId="10" xfId="0" applyFont="1" applyFill="1" applyBorder="1" applyAlignment="1">
      <alignment horizontal="center" vertical="center"/>
    </xf>
    <xf numFmtId="0" fontId="16" fillId="2" borderId="2" xfId="0" applyFont="1" applyFill="1" applyBorder="1" applyAlignment="1">
      <alignment horizontal="center"/>
    </xf>
    <xf numFmtId="0" fontId="16" fillId="2" borderId="13" xfId="0" applyFont="1" applyFill="1" applyBorder="1" applyAlignment="1">
      <alignment horizontal="center" vertical="center"/>
    </xf>
    <xf numFmtId="0" fontId="16" fillId="2" borderId="8" xfId="0" applyFont="1" applyFill="1" applyBorder="1" applyAlignment="1">
      <alignment horizontal="center"/>
    </xf>
    <xf numFmtId="0" fontId="16" fillId="2" borderId="16" xfId="0" applyFont="1" applyFill="1" applyBorder="1" applyAlignment="1">
      <alignment horizontal="center" vertical="center"/>
    </xf>
    <xf numFmtId="0" fontId="23" fillId="2" borderId="43" xfId="0" applyFont="1" applyFill="1" applyBorder="1" applyAlignment="1">
      <alignment horizontal="left" vertical="center" wrapText="1"/>
    </xf>
    <xf numFmtId="0" fontId="16" fillId="2" borderId="17" xfId="0" applyFont="1" applyFill="1" applyBorder="1" applyAlignment="1">
      <alignment horizontal="center"/>
    </xf>
    <xf numFmtId="0" fontId="16" fillId="10" borderId="10" xfId="0" applyFont="1" applyFill="1" applyBorder="1" applyAlignment="1">
      <alignment horizontal="center" vertical="center" wrapText="1"/>
    </xf>
    <xf numFmtId="0" fontId="4" fillId="10" borderId="11" xfId="50" applyFont="1" applyFill="1" applyBorder="1" applyAlignment="1">
      <alignment horizontal="left" vertical="center" wrapText="1"/>
    </xf>
    <xf numFmtId="0" fontId="4" fillId="10" borderId="52" xfId="50" applyFont="1" applyFill="1" applyBorder="1" applyAlignment="1">
      <alignment horizontal="left" vertical="center" wrapText="1"/>
    </xf>
    <xf numFmtId="0" fontId="16" fillId="10" borderId="2" xfId="50" applyFont="1" applyFill="1" applyBorder="1" applyAlignment="1">
      <alignment horizontal="center" vertical="center" wrapText="1"/>
    </xf>
    <xf numFmtId="0" fontId="16" fillId="10" borderId="13" xfId="0" applyFont="1" applyFill="1" applyBorder="1" applyAlignment="1">
      <alignment horizontal="center" vertical="center"/>
    </xf>
    <xf numFmtId="0" fontId="4" fillId="10" borderId="14" xfId="50" applyFont="1" applyFill="1" applyBorder="1" applyAlignment="1">
      <alignment horizontal="left" vertical="center" wrapText="1"/>
    </xf>
    <xf numFmtId="0" fontId="4" fillId="10" borderId="41" xfId="50" applyFont="1" applyFill="1" applyBorder="1" applyAlignment="1">
      <alignment horizontal="left" vertical="center" wrapText="1"/>
    </xf>
    <xf numFmtId="0" fontId="16" fillId="10" borderId="8" xfId="50" applyFont="1" applyFill="1" applyBorder="1" applyAlignment="1">
      <alignment horizontal="center" vertical="center" wrapText="1"/>
    </xf>
    <xf numFmtId="0" fontId="23" fillId="10" borderId="19" xfId="50" applyFont="1" applyFill="1" applyBorder="1" applyAlignment="1">
      <alignment horizontal="left" vertical="center" wrapText="1"/>
    </xf>
    <xf numFmtId="0" fontId="4" fillId="10" borderId="43" xfId="50" applyFont="1" applyFill="1" applyBorder="1" applyAlignment="1">
      <alignment horizontal="left" vertical="center" wrapText="1"/>
    </xf>
    <xf numFmtId="0" fontId="16" fillId="10" borderId="17" xfId="50" applyFont="1" applyFill="1" applyBorder="1" applyAlignment="1">
      <alignment horizontal="center" vertical="center" wrapText="1"/>
    </xf>
    <xf numFmtId="0" fontId="16" fillId="2" borderId="45" xfId="0" applyFont="1" applyFill="1" applyBorder="1" applyAlignment="1">
      <alignment horizontal="center" vertical="center"/>
    </xf>
    <xf numFmtId="0" fontId="21" fillId="3" borderId="51" xfId="59" applyFont="1" applyFill="1" applyBorder="1" applyAlignment="1">
      <alignment horizontal="center" vertical="center" wrapText="1"/>
    </xf>
    <xf numFmtId="0" fontId="21" fillId="3" borderId="56" xfId="59" applyFont="1" applyFill="1" applyBorder="1" applyAlignment="1">
      <alignment horizontal="center" vertical="center" wrapText="1"/>
    </xf>
    <xf numFmtId="0" fontId="21" fillId="3" borderId="57" xfId="59" applyFont="1" applyFill="1" applyBorder="1" applyAlignment="1">
      <alignment horizontal="center" vertical="center" wrapText="1"/>
    </xf>
    <xf numFmtId="0" fontId="21" fillId="3" borderId="53" xfId="59" applyFont="1" applyFill="1" applyBorder="1" applyAlignment="1">
      <alignment horizontal="center" vertical="center" wrapText="1"/>
    </xf>
    <xf numFmtId="0" fontId="4" fillId="2" borderId="13" xfId="0" applyFont="1" applyFill="1" applyBorder="1" applyAlignment="1">
      <alignment horizontal="center" vertical="center" wrapText="1"/>
    </xf>
    <xf numFmtId="0" fontId="4" fillId="2" borderId="8" xfId="0" applyFont="1" applyFill="1" applyBorder="1" applyAlignment="1">
      <alignment wrapText="1"/>
    </xf>
    <xf numFmtId="0" fontId="4" fillId="2" borderId="8" xfId="0" applyFont="1" applyFill="1" applyBorder="1" applyAlignment="1">
      <alignment horizontal="center" vertical="center"/>
    </xf>
    <xf numFmtId="9" fontId="17" fillId="2" borderId="58" xfId="0" applyNumberFormat="1" applyFont="1" applyFill="1" applyBorder="1" applyAlignment="1">
      <alignment horizontal="center" vertical="center"/>
    </xf>
    <xf numFmtId="0" fontId="16" fillId="2" borderId="9" xfId="0" applyFont="1" applyFill="1" applyBorder="1" applyAlignment="1">
      <alignment horizontal="center" vertical="center"/>
    </xf>
    <xf numFmtId="0" fontId="4" fillId="2" borderId="59" xfId="0" applyFont="1" applyFill="1" applyBorder="1" applyAlignment="1">
      <alignment horizontal="center"/>
    </xf>
    <xf numFmtId="9" fontId="17" fillId="2" borderId="60" xfId="0" applyNumberFormat="1" applyFont="1" applyFill="1" applyBorder="1" applyAlignment="1">
      <alignment horizontal="center" vertical="center"/>
    </xf>
    <xf numFmtId="0" fontId="4" fillId="2" borderId="12" xfId="0" applyFont="1" applyFill="1" applyBorder="1" applyAlignment="1">
      <alignment horizontal="center" vertical="center" wrapText="1"/>
    </xf>
    <xf numFmtId="0" fontId="4" fillId="2" borderId="15" xfId="0" applyFont="1" applyFill="1" applyBorder="1" applyAlignment="1">
      <alignment horizontal="center" vertical="center" wrapText="1"/>
    </xf>
    <xf numFmtId="0" fontId="4" fillId="2" borderId="61" xfId="0" applyFont="1" applyFill="1" applyBorder="1" applyAlignment="1">
      <alignment horizontal="center" vertical="center" wrapText="1"/>
    </xf>
    <xf numFmtId="0" fontId="4" fillId="2" borderId="16" xfId="0" applyFont="1" applyFill="1" applyBorder="1" applyAlignment="1">
      <alignment horizontal="center" vertical="center" wrapText="1"/>
    </xf>
    <xf numFmtId="0" fontId="4" fillId="2" borderId="17" xfId="0" applyFont="1" applyFill="1" applyBorder="1" applyAlignment="1">
      <alignment wrapText="1"/>
    </xf>
    <xf numFmtId="0" fontId="4" fillId="2" borderId="17" xfId="0" applyFont="1" applyFill="1" applyBorder="1" applyAlignment="1">
      <alignment horizontal="center" vertical="center"/>
    </xf>
    <xf numFmtId="9" fontId="17" fillId="2" borderId="62" xfId="0" applyNumberFormat="1" applyFont="1" applyFill="1" applyBorder="1" applyAlignment="1">
      <alignment horizontal="center" vertical="center"/>
    </xf>
    <xf numFmtId="0" fontId="16" fillId="2" borderId="18" xfId="0" applyFont="1" applyFill="1" applyBorder="1" applyAlignment="1">
      <alignment horizontal="center" vertical="center"/>
    </xf>
    <xf numFmtId="0" fontId="21" fillId="3" borderId="1" xfId="0" applyFont="1" applyFill="1" applyBorder="1" applyAlignment="1">
      <alignment horizontal="center" vertical="center"/>
    </xf>
    <xf numFmtId="0" fontId="21" fillId="3" borderId="52" xfId="0" applyFont="1" applyFill="1" applyBorder="1" applyAlignment="1">
      <alignment horizontal="center" vertical="center"/>
    </xf>
    <xf numFmtId="0" fontId="21" fillId="3" borderId="11" xfId="0" applyFont="1" applyFill="1" applyBorder="1" applyAlignment="1">
      <alignment horizontal="center" vertical="center"/>
    </xf>
    <xf numFmtId="0" fontId="21" fillId="3" borderId="29" xfId="0" applyFont="1" applyFill="1" applyBorder="1" applyAlignment="1">
      <alignment horizontal="center" vertical="center"/>
    </xf>
    <xf numFmtId="0" fontId="16" fillId="2" borderId="42" xfId="0" applyFont="1" applyFill="1" applyBorder="1" applyAlignment="1">
      <alignment horizontal="center" vertical="center"/>
    </xf>
    <xf numFmtId="0" fontId="16" fillId="2" borderId="43" xfId="0" applyFont="1" applyFill="1" applyBorder="1" applyAlignment="1">
      <alignment horizontal="center" vertical="center"/>
    </xf>
    <xf numFmtId="0" fontId="16" fillId="2" borderId="19" xfId="0" applyFont="1" applyFill="1" applyBorder="1" applyAlignment="1">
      <alignment horizontal="center" vertical="center"/>
    </xf>
    <xf numFmtId="0" fontId="4" fillId="2" borderId="34" xfId="0" applyFont="1" applyFill="1" applyBorder="1"/>
    <xf numFmtId="0" fontId="21" fillId="3" borderId="4" xfId="0" applyFont="1" applyFill="1" applyBorder="1" applyAlignment="1">
      <alignment horizontal="center"/>
    </xf>
    <xf numFmtId="0" fontId="21" fillId="3" borderId="5" xfId="0" applyFont="1" applyFill="1" applyBorder="1" applyAlignment="1">
      <alignment horizontal="center"/>
    </xf>
    <xf numFmtId="0" fontId="21" fillId="3" borderId="6" xfId="0" applyFont="1" applyFill="1" applyBorder="1" applyAlignment="1">
      <alignment horizontal="center"/>
    </xf>
    <xf numFmtId="0" fontId="21" fillId="3" borderId="10" xfId="50" applyFont="1" applyFill="1" applyBorder="1" applyAlignment="1">
      <alignment horizontal="center" vertical="center" wrapText="1"/>
    </xf>
    <xf numFmtId="0" fontId="21" fillId="3" borderId="2" xfId="50" applyFont="1" applyFill="1" applyBorder="1" applyAlignment="1">
      <alignment horizontal="center" vertical="center" wrapText="1"/>
    </xf>
    <xf numFmtId="0" fontId="21" fillId="3" borderId="3" xfId="50" applyFont="1" applyFill="1" applyBorder="1" applyAlignment="1">
      <alignment horizontal="center" vertical="center" wrapText="1"/>
    </xf>
    <xf numFmtId="0" fontId="4" fillId="2" borderId="0" xfId="54" applyFont="1" applyFill="1"/>
    <xf numFmtId="0" fontId="21" fillId="3" borderId="13" xfId="50" applyFont="1" applyFill="1" applyBorder="1" applyAlignment="1">
      <alignment horizontal="center" vertical="center" wrapText="1"/>
    </xf>
    <xf numFmtId="0" fontId="21" fillId="3" borderId="8" xfId="50" applyFont="1" applyFill="1" applyBorder="1" applyAlignment="1">
      <alignment horizontal="center" vertical="center" wrapText="1"/>
    </xf>
    <xf numFmtId="0" fontId="22" fillId="4" borderId="8" xfId="50" applyFont="1" applyFill="1" applyBorder="1" applyAlignment="1">
      <alignment horizontal="center" vertical="center" wrapText="1"/>
    </xf>
    <xf numFmtId="0" fontId="22" fillId="11" borderId="8" xfId="50" applyFont="1" applyFill="1" applyBorder="1" applyAlignment="1">
      <alignment horizontal="center" vertical="center" wrapText="1"/>
    </xf>
    <xf numFmtId="0" fontId="22" fillId="12" borderId="8" xfId="50" applyFont="1" applyFill="1" applyBorder="1" applyAlignment="1">
      <alignment horizontal="center" vertical="center" wrapText="1"/>
    </xf>
    <xf numFmtId="0" fontId="21" fillId="13" borderId="9" xfId="50" applyFont="1" applyFill="1" applyBorder="1" applyAlignment="1">
      <alignment horizontal="center" vertical="center" wrapText="1"/>
    </xf>
    <xf numFmtId="0" fontId="21" fillId="13" borderId="8" xfId="50" applyFont="1" applyFill="1" applyBorder="1" applyAlignment="1">
      <alignment horizontal="center" vertical="center" wrapText="1"/>
    </xf>
    <xf numFmtId="0" fontId="24" fillId="14" borderId="8" xfId="50" applyFont="1" applyFill="1" applyBorder="1" applyAlignment="1">
      <alignment horizontal="center" vertical="center" wrapText="1"/>
    </xf>
    <xf numFmtId="0" fontId="24" fillId="15" borderId="8" xfId="50" applyFont="1" applyFill="1" applyBorder="1" applyAlignment="1">
      <alignment horizontal="center" vertical="center" wrapText="1"/>
    </xf>
    <xf numFmtId="0" fontId="4" fillId="16" borderId="9" xfId="54" applyFont="1" applyFill="1" applyBorder="1" applyAlignment="1">
      <alignment horizontal="center" vertical="center"/>
    </xf>
    <xf numFmtId="0" fontId="24" fillId="17" borderId="8" xfId="50" applyFont="1" applyFill="1" applyBorder="1" applyAlignment="1">
      <alignment horizontal="center" vertical="center" wrapText="1"/>
    </xf>
    <xf numFmtId="0" fontId="24" fillId="15" borderId="9" xfId="50" applyFont="1" applyFill="1" applyBorder="1" applyAlignment="1">
      <alignment horizontal="center" vertical="center" wrapText="1"/>
    </xf>
    <xf numFmtId="0" fontId="21" fillId="3" borderId="16" xfId="50" applyFont="1" applyFill="1" applyBorder="1" applyAlignment="1">
      <alignment horizontal="center" vertical="center" wrapText="1"/>
    </xf>
    <xf numFmtId="0" fontId="22" fillId="4" borderId="17" xfId="50" applyFont="1" applyFill="1" applyBorder="1" applyAlignment="1">
      <alignment horizontal="center" vertical="center" wrapText="1"/>
    </xf>
    <xf numFmtId="0" fontId="24" fillId="17" borderId="17" xfId="50" applyFont="1" applyFill="1" applyBorder="1" applyAlignment="1">
      <alignment horizontal="center" vertical="center" wrapText="1"/>
    </xf>
    <xf numFmtId="0" fontId="24" fillId="14" borderId="17" xfId="50" applyFont="1" applyFill="1" applyBorder="1" applyAlignment="1">
      <alignment horizontal="center" vertical="center" wrapText="1"/>
    </xf>
    <xf numFmtId="0" fontId="24" fillId="18" borderId="18" xfId="50" applyFont="1" applyFill="1" applyBorder="1" applyAlignment="1">
      <alignment horizontal="center" vertical="center" wrapText="1"/>
    </xf>
    <xf numFmtId="0" fontId="19" fillId="0" borderId="0" xfId="54" applyFont="1" applyAlignment="1">
      <alignment vertical="center"/>
    </xf>
    <xf numFmtId="0" fontId="25" fillId="0" borderId="0" xfId="54" applyFont="1" applyAlignment="1">
      <alignment vertical="center"/>
    </xf>
    <xf numFmtId="0" fontId="26" fillId="0" borderId="0" xfId="54" applyFont="1" applyAlignment="1">
      <alignment vertical="center"/>
    </xf>
    <xf numFmtId="49" fontId="26" fillId="0" borderId="0" xfId="54" applyNumberFormat="1" applyFont="1" applyAlignment="1">
      <alignment vertical="center"/>
    </xf>
    <xf numFmtId="49" fontId="26" fillId="0" borderId="0" xfId="54" applyNumberFormat="1" applyFont="1" applyAlignment="1">
      <alignment horizontal="center" vertical="center"/>
    </xf>
    <xf numFmtId="0" fontId="26" fillId="0" borderId="0" xfId="54" applyFont="1" applyAlignment="1">
      <alignment vertical="center" wrapText="1"/>
    </xf>
    <xf numFmtId="0" fontId="26" fillId="0" borderId="0" xfId="54" applyFont="1" applyAlignment="1">
      <alignment horizontal="left" vertical="center" wrapText="1"/>
    </xf>
    <xf numFmtId="0" fontId="26" fillId="0" borderId="0" xfId="54" applyFont="1" applyAlignment="1">
      <alignment horizontal="center" vertical="center" wrapText="1"/>
    </xf>
    <xf numFmtId="0" fontId="26" fillId="0" borderId="0" xfId="54" applyFont="1" applyAlignment="1">
      <alignment horizontal="center" vertical="center"/>
    </xf>
    <xf numFmtId="0" fontId="17" fillId="0" borderId="0" xfId="60" applyFont="1"/>
    <xf numFmtId="14" fontId="17" fillId="0" borderId="0" xfId="60" applyNumberFormat="1" applyFont="1"/>
    <xf numFmtId="0" fontId="20" fillId="3" borderId="51" xfId="54" applyFont="1" applyFill="1" applyBorder="1" applyAlignment="1">
      <alignment horizontal="center" vertical="center" wrapText="1"/>
    </xf>
    <xf numFmtId="0" fontId="20" fillId="3" borderId="36" xfId="54" applyFont="1" applyFill="1" applyBorder="1" applyAlignment="1">
      <alignment horizontal="center" vertical="center" wrapText="1"/>
    </xf>
    <xf numFmtId="0" fontId="20" fillId="3" borderId="63" xfId="54" applyFont="1" applyFill="1" applyBorder="1" applyAlignment="1">
      <alignment horizontal="center" vertical="center" wrapText="1"/>
    </xf>
    <xf numFmtId="0" fontId="20" fillId="3" borderId="56" xfId="54" applyFont="1" applyFill="1" applyBorder="1" applyAlignment="1">
      <alignment horizontal="center" vertical="center" wrapText="1"/>
    </xf>
    <xf numFmtId="0" fontId="19" fillId="14" borderId="56" xfId="54" applyFont="1" applyFill="1" applyBorder="1" applyAlignment="1">
      <alignment horizontal="center" vertical="center" wrapText="1"/>
    </xf>
    <xf numFmtId="0" fontId="19" fillId="5" borderId="2" xfId="54" applyFont="1" applyFill="1" applyBorder="1" applyAlignment="1">
      <alignment horizontal="center" vertical="center" wrapText="1"/>
    </xf>
    <xf numFmtId="0" fontId="27" fillId="19" borderId="2" xfId="50" applyFont="1" applyFill="1" applyBorder="1" applyAlignment="1">
      <alignment horizontal="center" vertical="center" wrapText="1"/>
    </xf>
    <xf numFmtId="0" fontId="13" fillId="19" borderId="2" xfId="50" applyFont="1" applyFill="1" applyBorder="1" applyAlignment="1">
      <alignment horizontal="center" vertical="center" wrapText="1"/>
    </xf>
    <xf numFmtId="0" fontId="13" fillId="19" borderId="3" xfId="50" applyFont="1" applyFill="1" applyBorder="1" applyAlignment="1">
      <alignment horizontal="center" vertical="center" wrapText="1"/>
    </xf>
    <xf numFmtId="0" fontId="20" fillId="3" borderId="15" xfId="54" applyFont="1" applyFill="1" applyBorder="1" applyAlignment="1">
      <alignment horizontal="center" vertical="center" wrapText="1"/>
    </xf>
    <xf numFmtId="0" fontId="20" fillId="3" borderId="59" xfId="54" applyFont="1" applyFill="1" applyBorder="1" applyAlignment="1">
      <alignment horizontal="center" vertical="center" wrapText="1"/>
    </xf>
    <xf numFmtId="0" fontId="20" fillId="3" borderId="64" xfId="54" applyFont="1" applyFill="1" applyBorder="1" applyAlignment="1">
      <alignment horizontal="center" vertical="center" wrapText="1"/>
    </xf>
    <xf numFmtId="0" fontId="20" fillId="3" borderId="60" xfId="54" applyFont="1" applyFill="1" applyBorder="1" applyAlignment="1">
      <alignment horizontal="center" vertical="center" wrapText="1"/>
    </xf>
    <xf numFmtId="0" fontId="19" fillId="14" borderId="60" xfId="54" applyFont="1" applyFill="1" applyBorder="1" applyAlignment="1">
      <alignment horizontal="center" vertical="center" wrapText="1"/>
    </xf>
    <xf numFmtId="0" fontId="19" fillId="5" borderId="58" xfId="54" applyFont="1" applyFill="1" applyBorder="1" applyAlignment="1">
      <alignment horizontal="center" vertical="center" wrapText="1"/>
    </xf>
    <xf numFmtId="0" fontId="22" fillId="9" borderId="8" xfId="50" applyFont="1" applyFill="1" applyBorder="1" applyAlignment="1">
      <alignment horizontal="center" vertical="center" wrapText="1"/>
    </xf>
    <xf numFmtId="0" fontId="22" fillId="9" borderId="9" xfId="50" applyFont="1" applyFill="1" applyBorder="1" applyAlignment="1">
      <alignment horizontal="center" vertical="center" wrapText="1"/>
    </xf>
    <xf numFmtId="0" fontId="20" fillId="3" borderId="20" xfId="54" applyFont="1" applyFill="1" applyBorder="1" applyAlignment="1">
      <alignment horizontal="center" vertical="center" wrapText="1"/>
    </xf>
    <xf numFmtId="0" fontId="20" fillId="3" borderId="62" xfId="54" applyFont="1" applyFill="1" applyBorder="1" applyAlignment="1">
      <alignment horizontal="center" vertical="center" wrapText="1"/>
    </xf>
    <xf numFmtId="0" fontId="19" fillId="14" borderId="62" xfId="54" applyFont="1" applyFill="1" applyBorder="1" applyAlignment="1">
      <alignment horizontal="center" vertical="center" wrapText="1"/>
    </xf>
    <xf numFmtId="0" fontId="19" fillId="5" borderId="62" xfId="54" applyFont="1" applyFill="1" applyBorder="1" applyAlignment="1">
      <alignment horizontal="center" vertical="center" wrapText="1"/>
    </xf>
    <xf numFmtId="0" fontId="22" fillId="9" borderId="17" xfId="50" applyFont="1" applyFill="1" applyBorder="1" applyAlignment="1">
      <alignment horizontal="center" vertical="center" wrapText="1"/>
    </xf>
    <xf numFmtId="0" fontId="22" fillId="9" borderId="18" xfId="50" applyFont="1" applyFill="1" applyBorder="1" applyAlignment="1">
      <alignment horizontal="center" vertical="center" wrapText="1"/>
    </xf>
    <xf numFmtId="0" fontId="25" fillId="0" borderId="13" xfId="54" applyFont="1" applyBorder="1" applyAlignment="1">
      <alignment horizontal="center" vertical="center" textRotation="90"/>
    </xf>
    <xf numFmtId="49" fontId="17" fillId="2" borderId="8" xfId="54" applyNumberFormat="1" applyFont="1" applyFill="1" applyBorder="1" applyAlignment="1">
      <alignment vertical="center" wrapText="1"/>
    </xf>
    <xf numFmtId="49" fontId="17" fillId="2" borderId="8" xfId="54" applyNumberFormat="1" applyFont="1" applyFill="1" applyBorder="1" applyAlignment="1">
      <alignment vertical="center"/>
    </xf>
    <xf numFmtId="0" fontId="17" fillId="2" borderId="8" xfId="54" applyFont="1" applyFill="1" applyBorder="1" applyAlignment="1">
      <alignment horizontal="center" vertical="center" wrapText="1"/>
    </xf>
    <xf numFmtId="0" fontId="17" fillId="2" borderId="8" xfId="54" applyFont="1" applyFill="1" applyBorder="1" applyAlignment="1">
      <alignment vertical="center" wrapText="1"/>
    </xf>
    <xf numFmtId="0" fontId="17" fillId="2" borderId="8" xfId="54" applyFont="1" applyFill="1" applyBorder="1" applyAlignment="1" applyProtection="1">
      <alignment horizontal="center" vertical="center" wrapText="1"/>
      <protection locked="0"/>
    </xf>
    <xf numFmtId="0" fontId="28" fillId="2" borderId="8" xfId="54" applyFont="1" applyFill="1" applyBorder="1" applyAlignment="1" applyProtection="1">
      <alignment horizontal="left" vertical="center" wrapText="1"/>
      <protection locked="0"/>
    </xf>
    <xf numFmtId="0" fontId="17" fillId="2" borderId="8" xfId="50" applyFont="1" applyFill="1" applyBorder="1" applyAlignment="1" applyProtection="1">
      <alignment vertical="center" wrapText="1"/>
      <protection locked="0"/>
    </xf>
    <xf numFmtId="14" fontId="17" fillId="2" borderId="8" xfId="50" applyNumberFormat="1" applyFont="1" applyFill="1" applyBorder="1" applyAlignment="1" applyProtection="1">
      <alignment vertical="center" wrapText="1"/>
      <protection locked="0"/>
    </xf>
    <xf numFmtId="14" fontId="17" fillId="2" borderId="9" xfId="50" applyNumberFormat="1" applyFont="1" applyFill="1" applyBorder="1" applyAlignment="1" applyProtection="1">
      <alignment horizontal="center" vertical="center" wrapText="1"/>
      <protection locked="0"/>
    </xf>
    <xf numFmtId="0" fontId="17" fillId="0" borderId="8" xfId="54" applyFont="1" applyBorder="1" applyAlignment="1">
      <alignment horizontal="center" vertical="center" wrapText="1"/>
    </xf>
    <xf numFmtId="0" fontId="17" fillId="0" borderId="8" xfId="54" applyFont="1" applyBorder="1" applyAlignment="1">
      <alignment vertical="center" wrapText="1"/>
    </xf>
    <xf numFmtId="0" fontId="17" fillId="0" borderId="8" xfId="54" applyFont="1" applyBorder="1" applyAlignment="1" applyProtection="1">
      <alignment horizontal="center" vertical="center" wrapText="1"/>
      <protection locked="0"/>
    </xf>
    <xf numFmtId="0" fontId="17" fillId="0" borderId="8" xfId="54" applyFont="1" applyBorder="1" applyAlignment="1" applyProtection="1">
      <alignment horizontal="left" vertical="center" wrapText="1"/>
      <protection locked="0"/>
    </xf>
    <xf numFmtId="0" fontId="17" fillId="0" borderId="8" xfId="50" applyFont="1" applyBorder="1" applyAlignment="1" applyProtection="1">
      <alignment horizontal="center" vertical="center" wrapText="1"/>
      <protection locked="0"/>
    </xf>
    <xf numFmtId="0" fontId="17" fillId="0" borderId="8" xfId="50" applyFont="1" applyBorder="1" applyAlignment="1" applyProtection="1">
      <alignment vertical="center" wrapText="1"/>
      <protection locked="0"/>
    </xf>
    <xf numFmtId="14" fontId="17" fillId="0" borderId="8" xfId="50" applyNumberFormat="1" applyFont="1" applyBorder="1" applyAlignment="1" applyProtection="1">
      <alignment vertical="center" wrapText="1"/>
      <protection locked="0"/>
    </xf>
    <xf numFmtId="14" fontId="17" fillId="0" borderId="9" xfId="50" applyNumberFormat="1" applyFont="1" applyBorder="1" applyAlignment="1" applyProtection="1">
      <alignment horizontal="center" vertical="center" wrapText="1"/>
      <protection locked="0"/>
    </xf>
    <xf numFmtId="49" fontId="17" fillId="2" borderId="0" xfId="54" applyNumberFormat="1" applyFont="1" applyFill="1" applyAlignment="1">
      <alignment vertical="center" wrapText="1"/>
    </xf>
    <xf numFmtId="49" fontId="17" fillId="2" borderId="64" xfId="54" applyNumberFormat="1" applyFont="1" applyFill="1" applyBorder="1" applyAlignment="1">
      <alignment vertical="center"/>
    </xf>
    <xf numFmtId="49" fontId="17" fillId="2" borderId="0" xfId="54" applyNumberFormat="1" applyFont="1" applyFill="1" applyAlignment="1">
      <alignment vertical="center"/>
    </xf>
    <xf numFmtId="49" fontId="17" fillId="2" borderId="31" xfId="54" applyNumberFormat="1" applyFont="1" applyFill="1" applyBorder="1" applyAlignment="1">
      <alignment vertical="center"/>
    </xf>
    <xf numFmtId="49" fontId="17" fillId="2" borderId="65" xfId="54" applyNumberFormat="1" applyFont="1" applyFill="1" applyBorder="1" applyAlignment="1">
      <alignment vertical="center"/>
    </xf>
    <xf numFmtId="0" fontId="17" fillId="2" borderId="8" xfId="54" applyFont="1" applyFill="1" applyBorder="1" applyAlignment="1">
      <alignment horizontal="left" vertical="center" wrapText="1"/>
    </xf>
    <xf numFmtId="49" fontId="17" fillId="2" borderId="66" xfId="54" applyNumberFormat="1" applyFont="1" applyFill="1" applyBorder="1" applyAlignment="1">
      <alignment vertical="center" wrapText="1"/>
    </xf>
    <xf numFmtId="49" fontId="17" fillId="2" borderId="67" xfId="54" applyNumberFormat="1" applyFont="1" applyFill="1" applyBorder="1" applyAlignment="1">
      <alignment vertical="center"/>
    </xf>
    <xf numFmtId="0" fontId="28" fillId="2" borderId="8" xfId="54" applyFont="1" applyFill="1" applyBorder="1" applyAlignment="1">
      <alignment vertical="center" wrapText="1"/>
    </xf>
    <xf numFmtId="49" fontId="17" fillId="2" borderId="58" xfId="54" applyNumberFormat="1" applyFont="1" applyFill="1" applyBorder="1" applyAlignment="1">
      <alignment vertical="center"/>
    </xf>
    <xf numFmtId="0" fontId="17" fillId="2" borderId="58" xfId="54" applyFont="1" applyFill="1" applyBorder="1" applyAlignment="1">
      <alignment horizontal="center" vertical="center" wrapText="1"/>
    </xf>
    <xf numFmtId="0" fontId="17" fillId="2" borderId="58" xfId="54" applyFont="1" applyFill="1" applyBorder="1" applyAlignment="1">
      <alignment vertical="center" wrapText="1"/>
    </xf>
    <xf numFmtId="0" fontId="17" fillId="2" borderId="58" xfId="54" applyFont="1" applyFill="1" applyBorder="1" applyAlignment="1" applyProtection="1">
      <alignment horizontal="center" vertical="center" wrapText="1"/>
      <protection locked="0"/>
    </xf>
    <xf numFmtId="0" fontId="28" fillId="2" borderId="58" xfId="54" applyFont="1" applyFill="1" applyBorder="1" applyAlignment="1" applyProtection="1">
      <alignment horizontal="left" vertical="center" wrapText="1"/>
      <protection locked="0"/>
    </xf>
    <xf numFmtId="0" fontId="17" fillId="2" borderId="58" xfId="50" applyFont="1" applyFill="1" applyBorder="1" applyAlignment="1" applyProtection="1">
      <alignment horizontal="center" vertical="center" wrapText="1"/>
      <protection locked="0"/>
    </xf>
    <xf numFmtId="0" fontId="17" fillId="2" borderId="58" xfId="50" applyFont="1" applyFill="1" applyBorder="1" applyAlignment="1" applyProtection="1">
      <alignment vertical="center" wrapText="1"/>
      <protection locked="0"/>
    </xf>
    <xf numFmtId="14" fontId="17" fillId="2" borderId="58" xfId="50" applyNumberFormat="1" applyFont="1" applyFill="1" applyBorder="1" applyAlignment="1" applyProtection="1">
      <alignment vertical="center" wrapText="1"/>
      <protection locked="0"/>
    </xf>
    <xf numFmtId="14" fontId="17" fillId="2" borderId="68" xfId="50" applyNumberFormat="1" applyFont="1" applyFill="1" applyBorder="1" applyAlignment="1" applyProtection="1">
      <alignment horizontal="center" vertical="center" wrapText="1"/>
      <protection locked="0"/>
    </xf>
    <xf numFmtId="0" fontId="25" fillId="0" borderId="10" xfId="54" applyFont="1" applyBorder="1" applyAlignment="1">
      <alignment horizontal="center" vertical="center" textRotation="90" wrapText="1"/>
    </xf>
    <xf numFmtId="0" fontId="17" fillId="0" borderId="37" xfId="54" applyFont="1" applyBorder="1" applyAlignment="1">
      <alignment vertical="center" wrapText="1"/>
    </xf>
    <xf numFmtId="0" fontId="17" fillId="0" borderId="63" xfId="54" applyFont="1" applyBorder="1" applyAlignment="1">
      <alignment vertical="center"/>
    </xf>
    <xf numFmtId="0" fontId="17" fillId="0" borderId="2" xfId="54" applyFont="1" applyBorder="1" applyAlignment="1">
      <alignment horizontal="center" vertical="center"/>
    </xf>
    <xf numFmtId="0" fontId="17" fillId="0" borderId="2" xfId="54" applyFont="1" applyBorder="1" applyAlignment="1">
      <alignment horizontal="center" vertical="center" wrapText="1"/>
    </xf>
    <xf numFmtId="0" fontId="17" fillId="0" borderId="2" xfId="54" applyFont="1" applyBorder="1" applyAlignment="1">
      <alignment vertical="center" wrapText="1"/>
    </xf>
    <xf numFmtId="0" fontId="17" fillId="0" borderId="2" xfId="54" applyFont="1" applyBorder="1" applyAlignment="1" applyProtection="1">
      <alignment horizontal="center" vertical="center" wrapText="1"/>
      <protection locked="0"/>
    </xf>
    <xf numFmtId="0" fontId="28" fillId="0" borderId="56" xfId="54" applyFont="1" applyBorder="1" applyAlignment="1" applyProtection="1">
      <alignment vertical="center" wrapText="1"/>
      <protection locked="0"/>
    </xf>
    <xf numFmtId="0" fontId="17" fillId="0" borderId="2" xfId="50" applyFont="1" applyBorder="1" applyAlignment="1" applyProtection="1">
      <alignment horizontal="center" vertical="center" wrapText="1"/>
      <protection locked="0"/>
    </xf>
    <xf numFmtId="0" fontId="17" fillId="0" borderId="2" xfId="50" applyFont="1" applyBorder="1" applyAlignment="1" applyProtection="1">
      <alignment vertical="center" wrapText="1"/>
      <protection locked="0"/>
    </xf>
    <xf numFmtId="14" fontId="17" fillId="0" borderId="2" xfId="50" applyNumberFormat="1" applyFont="1" applyBorder="1" applyAlignment="1" applyProtection="1">
      <alignment vertical="center" wrapText="1"/>
      <protection locked="0"/>
    </xf>
    <xf numFmtId="14" fontId="17" fillId="0" borderId="3" xfId="50" applyNumberFormat="1" applyFont="1" applyBorder="1" applyAlignment="1" applyProtection="1">
      <alignment horizontal="center" vertical="center" wrapText="1"/>
      <protection locked="0"/>
    </xf>
    <xf numFmtId="0" fontId="25" fillId="0" borderId="16" xfId="54" applyFont="1" applyBorder="1" applyAlignment="1">
      <alignment horizontal="center" vertical="center" textRotation="90" wrapText="1"/>
    </xf>
    <xf numFmtId="0" fontId="17" fillId="0" borderId="31" xfId="54" applyFont="1" applyBorder="1" applyAlignment="1">
      <alignment vertical="center"/>
    </xf>
    <xf numFmtId="0" fontId="17" fillId="0" borderId="65" xfId="54" applyFont="1" applyBorder="1" applyAlignment="1">
      <alignment vertical="center"/>
    </xf>
    <xf numFmtId="0" fontId="17" fillId="0" borderId="58" xfId="54" applyFont="1" applyBorder="1" applyAlignment="1">
      <alignment horizontal="center" vertical="center" wrapText="1"/>
    </xf>
    <xf numFmtId="0" fontId="17" fillId="0" borderId="58" xfId="54" applyFont="1" applyBorder="1" applyAlignment="1">
      <alignment vertical="center" wrapText="1"/>
    </xf>
    <xf numFmtId="0" fontId="17" fillId="0" borderId="58" xfId="54" applyFont="1" applyBorder="1" applyAlignment="1" applyProtection="1">
      <alignment horizontal="center" vertical="center" wrapText="1"/>
      <protection locked="0"/>
    </xf>
    <xf numFmtId="0" fontId="28" fillId="0" borderId="58" xfId="54" applyFont="1" applyBorder="1" applyAlignment="1" applyProtection="1">
      <alignment vertical="center" wrapText="1"/>
      <protection locked="0"/>
    </xf>
    <xf numFmtId="0" fontId="17" fillId="0" borderId="58" xfId="50" applyFont="1" applyBorder="1" applyAlignment="1" applyProtection="1">
      <alignment horizontal="center" vertical="center" wrapText="1"/>
      <protection locked="0"/>
    </xf>
    <xf numFmtId="0" fontId="17" fillId="0" borderId="58" xfId="50" applyFont="1" applyBorder="1" applyAlignment="1" applyProtection="1">
      <alignment vertical="center" wrapText="1"/>
      <protection locked="0"/>
    </xf>
    <xf numFmtId="14" fontId="17" fillId="0" borderId="58" xfId="50" applyNumberFormat="1" applyFont="1" applyBorder="1" applyAlignment="1" applyProtection="1">
      <alignment vertical="center" wrapText="1"/>
      <protection locked="0"/>
    </xf>
    <xf numFmtId="14" fontId="17" fillId="0" borderId="68" xfId="50" applyNumberFormat="1" applyFont="1" applyBorder="1" applyAlignment="1" applyProtection="1">
      <alignment horizontal="center" vertical="center" wrapText="1"/>
      <protection locked="0"/>
    </xf>
    <xf numFmtId="0" fontId="25" fillId="0" borderId="15" xfId="54" applyFont="1" applyBorder="1" applyAlignment="1">
      <alignment horizontal="center" vertical="center" textRotation="90" wrapText="1"/>
    </xf>
    <xf numFmtId="49" fontId="17" fillId="2" borderId="28" xfId="54" applyNumberFormat="1" applyFont="1" applyFill="1" applyBorder="1" applyAlignment="1">
      <alignment horizontal="left" vertical="center" wrapText="1"/>
    </xf>
    <xf numFmtId="49" fontId="17" fillId="2" borderId="52" xfId="54" applyNumberFormat="1" applyFont="1" applyFill="1" applyBorder="1" applyAlignment="1">
      <alignment horizontal="left" vertical="center"/>
    </xf>
    <xf numFmtId="0" fontId="17" fillId="2" borderId="2" xfId="54" applyFont="1" applyFill="1" applyBorder="1" applyAlignment="1">
      <alignment horizontal="center" vertical="center"/>
    </xf>
    <xf numFmtId="0" fontId="17" fillId="2" borderId="2" xfId="54" applyFont="1" applyFill="1" applyBorder="1" applyAlignment="1">
      <alignment horizontal="center" vertical="center" wrapText="1"/>
    </xf>
    <xf numFmtId="0" fontId="17" fillId="2" borderId="2" xfId="54" applyFont="1" applyFill="1" applyBorder="1" applyAlignment="1">
      <alignment vertical="center" wrapText="1"/>
    </xf>
    <xf numFmtId="0" fontId="17" fillId="2" borderId="2" xfId="54" applyFont="1" applyFill="1" applyBorder="1" applyAlignment="1" applyProtection="1">
      <alignment horizontal="center" vertical="center" wrapText="1"/>
      <protection locked="0"/>
    </xf>
    <xf numFmtId="0" fontId="28" fillId="2" borderId="2" xfId="54" applyFont="1" applyFill="1" applyBorder="1" applyAlignment="1" applyProtection="1">
      <alignment horizontal="left" vertical="center" wrapText="1"/>
      <protection locked="0"/>
    </xf>
    <xf numFmtId="0" fontId="17" fillId="2" borderId="2" xfId="50" applyFont="1" applyFill="1" applyBorder="1" applyAlignment="1" applyProtection="1">
      <alignment horizontal="center" vertical="center" wrapText="1"/>
      <protection locked="0"/>
    </xf>
    <xf numFmtId="0" fontId="17" fillId="2" borderId="2" xfId="50" applyFont="1" applyFill="1" applyBorder="1" applyAlignment="1" applyProtection="1">
      <alignment vertical="center" wrapText="1"/>
      <protection locked="0"/>
    </xf>
    <xf numFmtId="14" fontId="17" fillId="2" borderId="2" xfId="50" applyNumberFormat="1" applyFont="1" applyFill="1" applyBorder="1" applyAlignment="1" applyProtection="1">
      <alignment vertical="center" wrapText="1"/>
      <protection locked="0"/>
    </xf>
    <xf numFmtId="14" fontId="17" fillId="2" borderId="3" xfId="50" applyNumberFormat="1" applyFont="1" applyFill="1" applyBorder="1" applyAlignment="1" applyProtection="1">
      <alignment horizontal="center" vertical="center" wrapText="1"/>
      <protection locked="0"/>
    </xf>
    <xf numFmtId="0" fontId="17" fillId="2" borderId="8" xfId="54" applyFont="1" applyFill="1" applyBorder="1" applyAlignment="1">
      <alignment horizontal="center" vertical="center"/>
    </xf>
    <xf numFmtId="49" fontId="17" fillId="0" borderId="8" xfId="54" applyNumberFormat="1" applyFont="1" applyBorder="1" applyAlignment="1">
      <alignment vertical="center" wrapText="1"/>
    </xf>
    <xf numFmtId="49" fontId="17" fillId="0" borderId="8" xfId="54" applyNumberFormat="1" applyFont="1" applyBorder="1" applyAlignment="1">
      <alignment vertical="center"/>
    </xf>
    <xf numFmtId="0" fontId="17" fillId="0" borderId="8" xfId="54" applyFont="1" applyBorder="1" applyAlignment="1">
      <alignment horizontal="center" vertical="center"/>
    </xf>
    <xf numFmtId="0" fontId="17" fillId="0" borderId="60" xfId="54" applyFont="1" applyBorder="1" applyAlignment="1">
      <alignment horizontal="center" vertical="center" wrapText="1"/>
    </xf>
    <xf numFmtId="0" fontId="25" fillId="0" borderId="20" xfId="54" applyFont="1" applyBorder="1" applyAlignment="1">
      <alignment horizontal="center" vertical="center" textRotation="90" wrapText="1"/>
    </xf>
    <xf numFmtId="49" fontId="17" fillId="0" borderId="58" xfId="54" applyNumberFormat="1" applyFont="1" applyBorder="1" applyAlignment="1">
      <alignment vertical="center"/>
    </xf>
    <xf numFmtId="0" fontId="17" fillId="0" borderId="58" xfId="54" applyFont="1" applyBorder="1" applyAlignment="1">
      <alignment horizontal="center" vertical="center"/>
    </xf>
    <xf numFmtId="0" fontId="28" fillId="0" borderId="58" xfId="54" applyFont="1" applyBorder="1" applyAlignment="1" applyProtection="1">
      <alignment horizontal="left" vertical="center" wrapText="1"/>
      <protection locked="0"/>
    </xf>
    <xf numFmtId="49" fontId="17" fillId="0" borderId="2" xfId="54" applyNumberFormat="1" applyFont="1" applyBorder="1" applyAlignment="1">
      <alignment horizontal="center" vertical="center" wrapText="1"/>
    </xf>
    <xf numFmtId="0" fontId="28" fillId="0" borderId="2" xfId="54" applyFont="1" applyBorder="1" applyAlignment="1" applyProtection="1">
      <alignment horizontal="left" vertical="center" wrapText="1"/>
      <protection locked="0"/>
    </xf>
    <xf numFmtId="0" fontId="25" fillId="0" borderId="61" xfId="54" applyFont="1" applyBorder="1" applyAlignment="1">
      <alignment horizontal="center" vertical="center" textRotation="90" wrapText="1"/>
    </xf>
    <xf numFmtId="0" fontId="17" fillId="2" borderId="69" xfId="54" applyFont="1" applyFill="1" applyBorder="1" applyAlignment="1">
      <alignment horizontal="center" vertical="center" wrapText="1"/>
    </xf>
    <xf numFmtId="0" fontId="17" fillId="2" borderId="69" xfId="54" applyFont="1" applyFill="1" applyBorder="1" applyAlignment="1">
      <alignment vertical="center" wrapText="1"/>
    </xf>
    <xf numFmtId="0" fontId="17" fillId="2" borderId="69" xfId="54" applyFont="1" applyFill="1" applyBorder="1" applyAlignment="1" applyProtection="1">
      <alignment horizontal="center" vertical="center" wrapText="1"/>
      <protection locked="0"/>
    </xf>
    <xf numFmtId="0" fontId="17" fillId="2" borderId="69" xfId="50" applyFont="1" applyFill="1" applyBorder="1" applyAlignment="1" applyProtection="1">
      <alignment horizontal="center" vertical="center" wrapText="1"/>
      <protection locked="0"/>
    </xf>
    <xf numFmtId="0" fontId="17" fillId="2" borderId="69" xfId="50" applyFont="1" applyFill="1" applyBorder="1" applyAlignment="1" applyProtection="1">
      <alignment vertical="center" wrapText="1"/>
      <protection locked="0"/>
    </xf>
    <xf numFmtId="14" fontId="17" fillId="2" borderId="69" xfId="50" applyNumberFormat="1" applyFont="1" applyFill="1" applyBorder="1" applyAlignment="1" applyProtection="1">
      <alignment vertical="center" wrapText="1"/>
      <protection locked="0"/>
    </xf>
    <xf numFmtId="14" fontId="17" fillId="2" borderId="70" xfId="50" applyNumberFormat="1" applyFont="1" applyFill="1" applyBorder="1" applyAlignment="1" applyProtection="1">
      <alignment horizontal="center" vertical="center" wrapText="1"/>
      <protection locked="0"/>
    </xf>
    <xf numFmtId="0" fontId="25" fillId="0" borderId="13" xfId="54" applyFont="1" applyBorder="1" applyAlignment="1">
      <alignment horizontal="center" vertical="center" textRotation="90" wrapText="1"/>
    </xf>
    <xf numFmtId="49" fontId="17" fillId="0" borderId="66" xfId="54" applyNumberFormat="1" applyFont="1" applyBorder="1" applyAlignment="1">
      <alignment vertical="center" wrapText="1"/>
    </xf>
    <xf numFmtId="49" fontId="17" fillId="0" borderId="67" xfId="54" applyNumberFormat="1" applyFont="1" applyBorder="1" applyAlignment="1">
      <alignment vertical="center"/>
    </xf>
    <xf numFmtId="49" fontId="17" fillId="0" borderId="0" xfId="54" applyNumberFormat="1" applyFont="1" applyAlignment="1">
      <alignment vertical="center"/>
    </xf>
    <xf numFmtId="49" fontId="17" fillId="0" borderId="64" xfId="54" applyNumberFormat="1" applyFont="1" applyBorder="1" applyAlignment="1">
      <alignment vertical="center"/>
    </xf>
    <xf numFmtId="49" fontId="17" fillId="0" borderId="31" xfId="54" applyNumberFormat="1" applyFont="1" applyBorder="1" applyAlignment="1">
      <alignment vertical="center"/>
    </xf>
    <xf numFmtId="49" fontId="17" fillId="0" borderId="65" xfId="54" applyNumberFormat="1" applyFont="1" applyBorder="1" applyAlignment="1">
      <alignment vertical="center"/>
    </xf>
    <xf numFmtId="0" fontId="28" fillId="0" borderId="8" xfId="54" applyFont="1" applyBorder="1" applyAlignment="1" applyProtection="1">
      <alignment horizontal="left" vertical="center" wrapText="1"/>
      <protection locked="0"/>
    </xf>
    <xf numFmtId="0" fontId="17" fillId="0" borderId="17" xfId="50" applyFont="1" applyBorder="1" applyAlignment="1" applyProtection="1">
      <alignment vertical="center" wrapText="1"/>
      <protection locked="0"/>
    </xf>
    <xf numFmtId="0" fontId="25" fillId="0" borderId="10" xfId="54" applyFont="1" applyBorder="1" applyAlignment="1">
      <alignment horizontal="center" vertical="center" textRotation="90"/>
    </xf>
    <xf numFmtId="49" fontId="17" fillId="2" borderId="37" xfId="54" applyNumberFormat="1" applyFont="1" applyFill="1" applyBorder="1" applyAlignment="1">
      <alignment vertical="center" wrapText="1"/>
    </xf>
    <xf numFmtId="49" fontId="17" fillId="2" borderId="63" xfId="54" applyNumberFormat="1" applyFont="1" applyFill="1" applyBorder="1" applyAlignment="1">
      <alignment vertical="center"/>
    </xf>
    <xf numFmtId="0" fontId="25" fillId="0" borderId="16" xfId="54" applyFont="1" applyBorder="1" applyAlignment="1">
      <alignment horizontal="center" vertical="center" textRotation="90"/>
    </xf>
    <xf numFmtId="49" fontId="17" fillId="0" borderId="34" xfId="54" applyNumberFormat="1" applyFont="1" applyBorder="1" applyAlignment="1">
      <alignment vertical="center"/>
    </xf>
    <xf numFmtId="49" fontId="17" fillId="0" borderId="71" xfId="54" applyNumberFormat="1" applyFont="1" applyBorder="1" applyAlignment="1">
      <alignment vertical="center"/>
    </xf>
    <xf numFmtId="0" fontId="17" fillId="2" borderId="17" xfId="54" applyFont="1" applyFill="1" applyBorder="1" applyAlignment="1">
      <alignment horizontal="center" vertical="center" wrapText="1"/>
    </xf>
    <xf numFmtId="0" fontId="17" fillId="2" borderId="17" xfId="54" applyFont="1" applyFill="1" applyBorder="1" applyAlignment="1">
      <alignment vertical="center" wrapText="1"/>
    </xf>
    <xf numFmtId="0" fontId="17" fillId="2" borderId="17" xfId="54" applyFont="1" applyFill="1" applyBorder="1" applyAlignment="1" applyProtection="1">
      <alignment horizontal="center" vertical="center" wrapText="1"/>
      <protection locked="0"/>
    </xf>
    <xf numFmtId="0" fontId="28" fillId="2" borderId="62" xfId="54" applyFont="1" applyFill="1" applyBorder="1" applyAlignment="1" applyProtection="1">
      <alignment horizontal="left" vertical="center" wrapText="1"/>
      <protection locked="0"/>
    </xf>
    <xf numFmtId="0" fontId="17" fillId="2" borderId="17" xfId="50" applyFont="1" applyFill="1" applyBorder="1" applyAlignment="1" applyProtection="1">
      <alignment vertical="center" wrapText="1"/>
      <protection locked="0"/>
    </xf>
    <xf numFmtId="14" fontId="17" fillId="2" borderId="17" xfId="50" applyNumberFormat="1" applyFont="1" applyFill="1" applyBorder="1" applyAlignment="1" applyProtection="1">
      <alignment vertical="center" wrapText="1"/>
      <protection locked="0"/>
    </xf>
    <xf numFmtId="14" fontId="17" fillId="2" borderId="18" xfId="50" applyNumberFormat="1" applyFont="1" applyFill="1" applyBorder="1" applyAlignment="1" applyProtection="1">
      <alignment horizontal="center" vertical="center" wrapText="1"/>
      <protection locked="0"/>
    </xf>
    <xf numFmtId="0" fontId="17" fillId="2" borderId="2" xfId="54" applyFont="1" applyFill="1" applyBorder="1" applyAlignment="1" applyProtection="1">
      <alignment horizontal="left" vertical="center" wrapText="1"/>
      <protection locked="0"/>
    </xf>
    <xf numFmtId="0" fontId="28" fillId="20" borderId="8" xfId="54" applyFont="1" applyFill="1" applyBorder="1" applyAlignment="1" applyProtection="1">
      <alignment vertical="center" wrapText="1"/>
      <protection locked="0"/>
    </xf>
    <xf numFmtId="49" fontId="17" fillId="2" borderId="34" xfId="54" applyNumberFormat="1" applyFont="1" applyFill="1" applyBorder="1" applyAlignment="1">
      <alignment vertical="center"/>
    </xf>
    <xf numFmtId="49" fontId="17" fillId="2" borderId="71" xfId="54" applyNumberFormat="1" applyFont="1" applyFill="1" applyBorder="1" applyAlignment="1">
      <alignment vertical="center"/>
    </xf>
    <xf numFmtId="0" fontId="17" fillId="2" borderId="17" xfId="54" applyFont="1" applyFill="1" applyBorder="1" applyAlignment="1">
      <alignment horizontal="center" vertical="center"/>
    </xf>
    <xf numFmtId="0" fontId="28" fillId="2" borderId="17" xfId="54" applyFont="1" applyFill="1" applyBorder="1" applyAlignment="1" applyProtection="1">
      <alignment vertical="center" wrapText="1"/>
      <protection locked="0"/>
    </xf>
    <xf numFmtId="0" fontId="17" fillId="2" borderId="17" xfId="54" applyFont="1" applyFill="1" applyBorder="1" applyAlignment="1" applyProtection="1">
      <alignment vertical="center" wrapText="1"/>
      <protection locked="0"/>
    </xf>
    <xf numFmtId="49" fontId="4" fillId="2" borderId="0" xfId="54" applyNumberFormat="1" applyFont="1" applyFill="1" applyAlignment="1">
      <alignment horizontal="center" vertical="center"/>
    </xf>
    <xf numFmtId="0" fontId="4" fillId="2" borderId="0" xfId="54" applyFont="1" applyFill="1" applyAlignment="1">
      <alignment horizontal="center" vertical="center"/>
    </xf>
    <xf numFmtId="0" fontId="4" fillId="2" borderId="0" xfId="54" applyFont="1" applyFill="1" applyAlignment="1">
      <alignment vertical="center" wrapText="1"/>
    </xf>
    <xf numFmtId="0" fontId="0" fillId="0" borderId="0" xfId="0" applyProtection="1">
      <protection locked="0"/>
    </xf>
    <xf numFmtId="0" fontId="4" fillId="2" borderId="0" xfId="54" applyFont="1" applyFill="1" applyAlignment="1">
      <alignment horizontal="center" vertical="center" wrapText="1"/>
    </xf>
    <xf numFmtId="0" fontId="29" fillId="0" borderId="0" xfId="54" applyFont="1" applyAlignment="1" applyProtection="1">
      <alignment vertical="center" wrapText="1"/>
      <protection locked="0"/>
    </xf>
    <xf numFmtId="0" fontId="29" fillId="0" borderId="0" xfId="54" applyFont="1" applyAlignment="1">
      <alignment vertical="center" wrapText="1"/>
    </xf>
    <xf numFmtId="0" fontId="13" fillId="3" borderId="4" xfId="0" applyFont="1" applyFill="1" applyBorder="1" applyAlignment="1">
      <alignment horizontal="center" vertical="center"/>
    </xf>
    <xf numFmtId="0" fontId="4" fillId="0" borderId="49" xfId="0" applyFont="1" applyBorder="1" applyAlignment="1">
      <alignment horizontal="center" vertical="center" wrapText="1"/>
    </xf>
    <xf numFmtId="0" fontId="4" fillId="0" borderId="50" xfId="0" applyFont="1" applyBorder="1" applyAlignment="1">
      <alignment horizontal="center" vertical="center" wrapText="1"/>
    </xf>
    <xf numFmtId="0" fontId="26" fillId="21" borderId="8" xfId="54" applyFont="1" applyFill="1" applyBorder="1" applyAlignment="1">
      <alignment horizontal="center" vertical="center"/>
    </xf>
    <xf numFmtId="0" fontId="26" fillId="0" borderId="0" xfId="54" applyFont="1" applyAlignment="1" applyProtection="1">
      <alignment horizontal="center" vertical="center" wrapText="1"/>
      <protection locked="0"/>
    </xf>
    <xf numFmtId="0" fontId="26" fillId="0" borderId="0" xfId="54" applyFont="1" applyAlignment="1" applyProtection="1">
      <alignment vertical="center"/>
      <protection locked="0"/>
    </xf>
    <xf numFmtId="0" fontId="26" fillId="0" borderId="8" xfId="54" applyFont="1" applyBorder="1" applyAlignment="1">
      <alignment horizontal="right" vertical="center"/>
    </xf>
    <xf numFmtId="0" fontId="26" fillId="0" borderId="8" xfId="54" applyFont="1" applyBorder="1" applyAlignment="1">
      <alignment horizontal="center" vertical="center" wrapText="1"/>
    </xf>
    <xf numFmtId="49" fontId="26" fillId="0" borderId="8" xfId="54" applyNumberFormat="1" applyFont="1" applyBorder="1" applyAlignment="1">
      <alignment horizontal="right" vertical="center"/>
    </xf>
    <xf numFmtId="0" fontId="17" fillId="0" borderId="0" xfId="0" applyFont="1"/>
    <xf numFmtId="0" fontId="0" fillId="2" borderId="0" xfId="0" applyFill="1" applyAlignment="1">
      <alignment horizontal="center" vertical="center"/>
    </xf>
    <xf numFmtId="0" fontId="3" fillId="4" borderId="0" xfId="0" applyFont="1" applyFill="1" applyAlignment="1">
      <alignment horizontal="center" vertical="center"/>
    </xf>
    <xf numFmtId="0" fontId="3" fillId="4" borderId="72" xfId="0" applyFont="1" applyFill="1" applyBorder="1" applyAlignment="1">
      <alignment horizontal="center" vertical="center"/>
    </xf>
    <xf numFmtId="0" fontId="30" fillId="3" borderId="61" xfId="0" applyFont="1" applyFill="1" applyBorder="1" applyAlignment="1">
      <alignment horizontal="center" vertical="center"/>
    </xf>
    <xf numFmtId="0" fontId="1" fillId="3" borderId="61" xfId="0" applyFont="1" applyFill="1" applyBorder="1" applyAlignment="1">
      <alignment horizontal="center" vertical="center"/>
    </xf>
    <xf numFmtId="0" fontId="1" fillId="3" borderId="69" xfId="0" applyFont="1" applyFill="1" applyBorder="1" applyAlignment="1">
      <alignment horizontal="center" vertical="center"/>
    </xf>
    <xf numFmtId="0" fontId="30" fillId="3" borderId="69" xfId="0" applyFont="1" applyFill="1" applyBorder="1" applyAlignment="1">
      <alignment horizontal="center" vertical="center"/>
    </xf>
    <xf numFmtId="0" fontId="1" fillId="3" borderId="70" xfId="0" applyFont="1" applyFill="1" applyBorder="1" applyAlignment="1">
      <alignment horizontal="center" vertical="center"/>
    </xf>
    <xf numFmtId="0" fontId="4" fillId="2" borderId="8" xfId="0" applyFont="1" applyFill="1" applyBorder="1" applyAlignment="1" applyProtection="1">
      <alignment vertical="center"/>
      <protection locked="0"/>
    </xf>
    <xf numFmtId="0" fontId="31" fillId="2" borderId="13" xfId="0" applyFont="1" applyFill="1" applyBorder="1" applyAlignment="1">
      <alignment horizontal="left" vertical="center" wrapText="1"/>
    </xf>
    <xf numFmtId="0" fontId="32" fillId="2" borderId="8" xfId="0" applyFont="1" applyFill="1" applyBorder="1" applyAlignment="1">
      <alignment horizontal="left" vertical="center" wrapText="1"/>
    </xf>
    <xf numFmtId="0" fontId="31" fillId="2" borderId="8" xfId="0" applyFont="1" applyFill="1" applyBorder="1" applyAlignment="1">
      <alignment horizontal="center" vertical="center"/>
    </xf>
    <xf numFmtId="0" fontId="31" fillId="2" borderId="14" xfId="0" applyFont="1" applyFill="1" applyBorder="1" applyAlignment="1">
      <alignment horizontal="center" vertical="center"/>
    </xf>
    <xf numFmtId="0" fontId="33" fillId="2" borderId="8" xfId="0" applyFont="1" applyFill="1" applyBorder="1" applyAlignment="1" applyProtection="1">
      <alignment vertical="center"/>
      <protection locked="0"/>
    </xf>
    <xf numFmtId="0" fontId="31" fillId="2" borderId="8" xfId="0" applyFont="1" applyFill="1" applyBorder="1" applyAlignment="1">
      <alignment vertical="center" wrapText="1"/>
    </xf>
    <xf numFmtId="0" fontId="0" fillId="2" borderId="40" xfId="0" applyFill="1" applyBorder="1" applyAlignment="1">
      <alignment vertical="center" wrapText="1"/>
    </xf>
    <xf numFmtId="0" fontId="32" fillId="2" borderId="13" xfId="0" applyFont="1" applyFill="1" applyBorder="1" applyAlignment="1">
      <alignment vertical="center" wrapText="1"/>
    </xf>
    <xf numFmtId="0" fontId="32" fillId="2" borderId="8" xfId="0" applyFont="1" applyFill="1" applyBorder="1" applyAlignment="1">
      <alignment horizontal="center" vertical="center"/>
    </xf>
    <xf numFmtId="0" fontId="32" fillId="2" borderId="14" xfId="0" applyFont="1" applyFill="1" applyBorder="1" applyAlignment="1">
      <alignment horizontal="center" vertical="center"/>
    </xf>
    <xf numFmtId="0" fontId="32" fillId="2" borderId="14" xfId="0" applyFont="1" applyFill="1" applyBorder="1" applyAlignment="1">
      <alignment vertical="center" wrapText="1"/>
    </xf>
    <xf numFmtId="0" fontId="32" fillId="2" borderId="8" xfId="0" applyFont="1" applyFill="1" applyBorder="1" applyAlignment="1">
      <alignment vertical="center" wrapText="1"/>
    </xf>
    <xf numFmtId="0" fontId="0" fillId="2" borderId="40" xfId="0" applyFill="1" applyBorder="1" applyAlignment="1">
      <alignment vertical="center"/>
    </xf>
    <xf numFmtId="0" fontId="32" fillId="2" borderId="13" xfId="0" applyFont="1" applyFill="1" applyBorder="1" applyAlignment="1">
      <alignment vertical="center"/>
    </xf>
    <xf numFmtId="0" fontId="0" fillId="2" borderId="13" xfId="0" applyFill="1" applyBorder="1" applyAlignment="1">
      <alignment vertical="center"/>
    </xf>
    <xf numFmtId="0" fontId="32" fillId="2" borderId="13" xfId="0" applyFont="1" applyFill="1" applyBorder="1" applyAlignment="1">
      <alignment horizontal="left" vertical="center"/>
    </xf>
    <xf numFmtId="0" fontId="0" fillId="2" borderId="14" xfId="0" applyFill="1" applyBorder="1" applyAlignment="1">
      <alignment vertical="center" wrapText="1"/>
    </xf>
    <xf numFmtId="0" fontId="0" fillId="2" borderId="13" xfId="0" applyFill="1" applyBorder="1" applyAlignment="1">
      <alignment horizontal="left" vertical="center"/>
    </xf>
    <xf numFmtId="0" fontId="0" fillId="2" borderId="9" xfId="0" applyFill="1" applyBorder="1" applyAlignment="1">
      <alignment vertical="center"/>
    </xf>
    <xf numFmtId="0" fontId="0" fillId="2" borderId="16" xfId="0" applyFill="1" applyBorder="1" applyAlignment="1">
      <alignment vertical="center"/>
    </xf>
    <xf numFmtId="0" fontId="4" fillId="2" borderId="17" xfId="0" applyFont="1" applyFill="1" applyBorder="1" applyAlignment="1" applyProtection="1">
      <alignment vertical="center"/>
      <protection locked="0"/>
    </xf>
    <xf numFmtId="0" fontId="32" fillId="2" borderId="17" xfId="0" applyFont="1" applyFill="1" applyBorder="1" applyAlignment="1">
      <alignment horizontal="left" vertical="center" wrapText="1"/>
    </xf>
    <xf numFmtId="0" fontId="0" fillId="2" borderId="18" xfId="0" applyFill="1" applyBorder="1" applyAlignment="1">
      <alignment vertical="center"/>
    </xf>
    <xf numFmtId="0" fontId="3" fillId="4" borderId="36" xfId="0" applyFont="1" applyFill="1" applyBorder="1" applyAlignment="1">
      <alignment horizontal="center" vertic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0" borderId="0" xfId="0" applyFont="1" applyAlignment="1">
      <alignment horizontal="center" vertical="center"/>
    </xf>
    <xf numFmtId="0" fontId="0" fillId="2" borderId="10" xfId="0" applyFill="1" applyBorder="1" applyAlignment="1">
      <alignment horizontal="center" vertical="center"/>
    </xf>
    <xf numFmtId="0" fontId="0" fillId="2" borderId="2" xfId="0" applyFill="1" applyBorder="1" applyAlignment="1">
      <alignment horizontal="left" vertical="center"/>
    </xf>
    <xf numFmtId="0" fontId="0" fillId="2" borderId="3" xfId="0" applyFill="1" applyBorder="1" applyAlignment="1">
      <alignment horizontal="left" vertical="center"/>
    </xf>
    <xf numFmtId="0" fontId="0" fillId="2" borderId="0" xfId="0" applyFill="1" applyAlignment="1">
      <alignment horizontal="left" vertical="center"/>
    </xf>
    <xf numFmtId="0" fontId="0" fillId="2" borderId="8" xfId="0" applyFill="1" applyBorder="1" applyAlignment="1">
      <alignment horizontal="left" vertical="center"/>
    </xf>
    <xf numFmtId="0" fontId="0" fillId="2" borderId="9" xfId="0" applyFill="1" applyBorder="1" applyAlignment="1">
      <alignment horizontal="left" vertical="center"/>
    </xf>
    <xf numFmtId="0" fontId="0" fillId="2" borderId="8" xfId="0" applyFill="1" applyBorder="1" applyAlignment="1">
      <alignment horizontal="left" vertical="center" wrapText="1"/>
    </xf>
    <xf numFmtId="0" fontId="0" fillId="2" borderId="9" xfId="0" applyFill="1" applyBorder="1" applyAlignment="1">
      <alignment horizontal="left" vertical="center" wrapText="1"/>
    </xf>
    <xf numFmtId="0" fontId="0" fillId="2" borderId="0" xfId="0" applyFill="1" applyAlignment="1">
      <alignment horizontal="left" vertical="center" wrapText="1"/>
    </xf>
    <xf numFmtId="0" fontId="0" fillId="2" borderId="12" xfId="0" applyFill="1" applyBorder="1" applyAlignment="1">
      <alignment horizontal="center" vertical="center"/>
    </xf>
    <xf numFmtId="0" fontId="33" fillId="2" borderId="8" xfId="0" applyFont="1" applyFill="1" applyBorder="1" applyAlignment="1">
      <alignment horizontal="left" vertical="center" wrapText="1"/>
    </xf>
    <xf numFmtId="0" fontId="0" fillId="2" borderId="15" xfId="0" applyFill="1" applyBorder="1" applyAlignment="1">
      <alignment horizontal="center" vertical="center"/>
    </xf>
    <xf numFmtId="0" fontId="0" fillId="2" borderId="20" xfId="0" applyFill="1" applyBorder="1" applyAlignment="1">
      <alignment horizontal="center" vertical="center"/>
    </xf>
    <xf numFmtId="0" fontId="0" fillId="2" borderId="19" xfId="0" applyFill="1" applyBorder="1" applyAlignment="1">
      <alignment horizontal="left" vertical="center" wrapText="1"/>
    </xf>
    <xf numFmtId="0" fontId="0" fillId="2" borderId="45" xfId="0" applyFill="1" applyBorder="1" applyAlignment="1">
      <alignment horizontal="left" vertical="center" wrapText="1"/>
    </xf>
    <xf numFmtId="0" fontId="4" fillId="0" borderId="0" xfId="0" applyFont="1"/>
    <xf numFmtId="0" fontId="22" fillId="4" borderId="4" xfId="0" applyFont="1" applyFill="1" applyBorder="1" applyAlignment="1">
      <alignment horizontal="center" vertical="center"/>
    </xf>
    <xf numFmtId="0" fontId="22" fillId="4" borderId="5" xfId="0" applyFont="1" applyFill="1" applyBorder="1" applyAlignment="1">
      <alignment horizontal="center" vertical="center"/>
    </xf>
    <xf numFmtId="0" fontId="22" fillId="4" borderId="6" xfId="0" applyFont="1" applyFill="1" applyBorder="1" applyAlignment="1">
      <alignment horizontal="center" vertical="center"/>
    </xf>
    <xf numFmtId="0" fontId="21" fillId="3" borderId="10" xfId="0" applyFont="1" applyFill="1" applyBorder="1" applyAlignment="1">
      <alignment horizontal="center" vertical="center"/>
    </xf>
    <xf numFmtId="0" fontId="21" fillId="3" borderId="2" xfId="0" applyFont="1" applyFill="1" applyBorder="1" applyAlignment="1">
      <alignment horizontal="center" vertical="center"/>
    </xf>
    <xf numFmtId="0" fontId="21" fillId="3" borderId="2" xfId="0" applyFont="1" applyFill="1" applyBorder="1" applyAlignment="1">
      <alignment horizontal="center"/>
    </xf>
    <xf numFmtId="0" fontId="21" fillId="3" borderId="3" xfId="0" applyFont="1" applyFill="1" applyBorder="1" applyAlignment="1">
      <alignment horizontal="center"/>
    </xf>
    <xf numFmtId="0" fontId="22" fillId="4" borderId="73" xfId="0" applyFont="1" applyFill="1" applyBorder="1" applyAlignment="1">
      <alignment horizontal="center"/>
    </xf>
    <xf numFmtId="0" fontId="22" fillId="4" borderId="66" xfId="0" applyFont="1" applyFill="1" applyBorder="1" applyAlignment="1">
      <alignment horizontal="center"/>
    </xf>
    <xf numFmtId="0" fontId="22" fillId="4" borderId="74" xfId="0" applyFont="1" applyFill="1" applyBorder="1" applyAlignment="1">
      <alignment horizontal="center"/>
    </xf>
    <xf numFmtId="0" fontId="4" fillId="2" borderId="13" xfId="0" applyFont="1" applyFill="1" applyBorder="1" applyAlignment="1">
      <alignment horizontal="center" vertical="center"/>
    </xf>
    <xf numFmtId="0" fontId="4" fillId="0" borderId="8" xfId="0" applyFont="1" applyBorder="1" applyAlignment="1">
      <alignment vertical="center"/>
    </xf>
    <xf numFmtId="0" fontId="33" fillId="2" borderId="8" xfId="0" applyFont="1" applyFill="1" applyBorder="1" applyAlignment="1">
      <alignment horizontal="center" vertical="center"/>
    </xf>
    <xf numFmtId="0" fontId="34" fillId="2" borderId="8" xfId="0" applyFont="1" applyFill="1" applyBorder="1" applyAlignment="1">
      <alignment vertical="center"/>
    </xf>
    <xf numFmtId="0" fontId="34" fillId="10" borderId="9" xfId="0" applyFont="1" applyFill="1" applyBorder="1"/>
    <xf numFmtId="0" fontId="33" fillId="2" borderId="8" xfId="0" applyFont="1" applyFill="1" applyBorder="1" applyAlignment="1" applyProtection="1">
      <alignment horizontal="center" vertical="center"/>
      <protection locked="0"/>
    </xf>
    <xf numFmtId="0" fontId="33" fillId="2" borderId="8" xfId="0" applyFont="1" applyFill="1" applyBorder="1" applyAlignment="1" applyProtection="1">
      <alignment vertical="center" wrapText="1"/>
      <protection locked="0"/>
    </xf>
    <xf numFmtId="0" fontId="4" fillId="2" borderId="8" xfId="0" applyFont="1" applyFill="1" applyBorder="1" applyAlignment="1" applyProtection="1">
      <alignment vertical="center" wrapText="1"/>
      <protection locked="0"/>
    </xf>
    <xf numFmtId="0" fontId="34" fillId="10" borderId="9" xfId="0" applyFont="1" applyFill="1" applyBorder="1" applyAlignment="1">
      <alignment wrapText="1"/>
    </xf>
    <xf numFmtId="0" fontId="22" fillId="4" borderId="36" xfId="0" applyFont="1" applyFill="1" applyBorder="1" applyAlignment="1">
      <alignment horizontal="center"/>
    </xf>
    <xf numFmtId="0" fontId="22" fillId="4" borderId="37" xfId="0" applyFont="1" applyFill="1" applyBorder="1" applyAlignment="1">
      <alignment horizontal="center"/>
    </xf>
    <xf numFmtId="0" fontId="22" fillId="4" borderId="38" xfId="0" applyFont="1" applyFill="1" applyBorder="1" applyAlignment="1">
      <alignment horizontal="center"/>
    </xf>
    <xf numFmtId="0" fontId="4" fillId="2" borderId="12" xfId="0" applyFont="1" applyFill="1" applyBorder="1" applyAlignment="1">
      <alignment horizontal="center" vertical="center"/>
    </xf>
    <xf numFmtId="0" fontId="4" fillId="0" borderId="58" xfId="0" applyFont="1" applyBorder="1" applyAlignment="1">
      <alignment horizontal="left" vertical="center" wrapText="1"/>
    </xf>
    <xf numFmtId="0" fontId="4" fillId="2" borderId="58" xfId="0" applyFont="1" applyFill="1" applyBorder="1" applyAlignment="1" applyProtection="1">
      <alignment vertical="center" wrapText="1"/>
      <protection locked="0"/>
    </xf>
    <xf numFmtId="0" fontId="35" fillId="2" borderId="8" xfId="0" applyFont="1" applyFill="1" applyBorder="1" applyAlignment="1">
      <alignment vertical="center" wrapText="1"/>
    </xf>
    <xf numFmtId="0" fontId="4" fillId="2" borderId="15" xfId="0" applyFont="1" applyFill="1" applyBorder="1" applyAlignment="1">
      <alignment horizontal="center" vertical="center"/>
    </xf>
    <xf numFmtId="0" fontId="4" fillId="0" borderId="60" xfId="0" applyFont="1" applyBorder="1" applyAlignment="1">
      <alignment horizontal="left" vertical="center" wrapText="1"/>
    </xf>
    <xf numFmtId="0" fontId="34" fillId="2" borderId="58" xfId="0" applyFont="1" applyFill="1" applyBorder="1" applyAlignment="1">
      <alignment horizontal="left" vertical="center"/>
    </xf>
    <xf numFmtId="0" fontId="34" fillId="10" borderId="68" xfId="0" applyFont="1" applyFill="1" applyBorder="1" applyAlignment="1">
      <alignment vertical="center"/>
    </xf>
    <xf numFmtId="0" fontId="34" fillId="2" borderId="8" xfId="0" applyFont="1" applyFill="1" applyBorder="1" applyAlignment="1">
      <alignment horizontal="left" vertical="center"/>
    </xf>
    <xf numFmtId="0" fontId="34" fillId="10" borderId="9" xfId="0" applyFont="1" applyFill="1" applyBorder="1" applyAlignment="1">
      <alignment vertical="center"/>
    </xf>
    <xf numFmtId="0" fontId="36" fillId="0" borderId="58" xfId="6" applyFont="1" applyFill="1" applyBorder="1" applyAlignment="1">
      <alignment horizontal="left" vertical="center" wrapText="1"/>
    </xf>
    <xf numFmtId="0" fontId="36" fillId="0" borderId="60" xfId="6" applyFont="1" applyFill="1" applyBorder="1" applyAlignment="1">
      <alignment horizontal="left" vertical="center" wrapText="1"/>
    </xf>
    <xf numFmtId="0" fontId="4" fillId="2" borderId="61" xfId="0" applyFont="1" applyFill="1" applyBorder="1" applyAlignment="1">
      <alignment horizontal="center" vertical="center"/>
    </xf>
    <xf numFmtId="0" fontId="36" fillId="0" borderId="69" xfId="6" applyFont="1" applyFill="1" applyBorder="1" applyAlignment="1">
      <alignment horizontal="left" vertical="center" wrapText="1"/>
    </xf>
    <xf numFmtId="0" fontId="4" fillId="0" borderId="8" xfId="0" applyFont="1" applyBorder="1" applyAlignment="1">
      <alignment vertical="center" wrapText="1"/>
    </xf>
    <xf numFmtId="0" fontId="34" fillId="10" borderId="9" xfId="0" applyFont="1" applyFill="1" applyBorder="1" applyAlignment="1">
      <alignment horizontal="left" vertical="center"/>
    </xf>
    <xf numFmtId="0" fontId="4" fillId="0" borderId="69" xfId="0" applyFont="1" applyBorder="1" applyAlignment="1">
      <alignment horizontal="left" vertical="center" wrapText="1"/>
    </xf>
    <xf numFmtId="0" fontId="4" fillId="2" borderId="8" xfId="0" applyFont="1" applyFill="1" applyBorder="1" applyProtection="1">
      <protection locked="0"/>
    </xf>
    <xf numFmtId="0" fontId="4" fillId="0" borderId="8" xfId="0" applyFont="1" applyBorder="1" applyAlignment="1" applyProtection="1">
      <alignment vertical="center"/>
      <protection locked="0"/>
    </xf>
    <xf numFmtId="0" fontId="17" fillId="0" borderId="8" xfId="0" applyFont="1" applyBorder="1" applyAlignment="1">
      <alignment vertical="center" wrapText="1"/>
    </xf>
    <xf numFmtId="0" fontId="4" fillId="2" borderId="16" xfId="0" applyFont="1" applyFill="1" applyBorder="1" applyAlignment="1">
      <alignment horizontal="center" vertical="center"/>
    </xf>
    <xf numFmtId="0" fontId="4" fillId="0" borderId="17" xfId="0" applyFont="1" applyBorder="1" applyAlignment="1">
      <alignment vertical="center" wrapText="1"/>
    </xf>
    <xf numFmtId="0" fontId="33" fillId="2" borderId="17" xfId="0" applyFont="1" applyFill="1" applyBorder="1" applyAlignment="1" applyProtection="1">
      <alignment vertical="center" wrapText="1"/>
      <protection locked="0"/>
    </xf>
    <xf numFmtId="0" fontId="34" fillId="2" borderId="17" xfId="0" applyFont="1" applyFill="1" applyBorder="1" applyAlignment="1">
      <alignment vertical="center"/>
    </xf>
    <xf numFmtId="0" fontId="34" fillId="10" borderId="18" xfId="0" applyFont="1" applyFill="1" applyBorder="1" applyAlignment="1">
      <alignment vertical="center"/>
    </xf>
    <xf numFmtId="0" fontId="22" fillId="4" borderId="0" xfId="0" applyFont="1" applyFill="1" applyAlignment="1">
      <alignment horizontal="center"/>
    </xf>
    <xf numFmtId="0" fontId="22" fillId="4" borderId="72" xfId="0" applyFont="1" applyFill="1" applyBorder="1" applyAlignment="1">
      <alignment horizontal="center"/>
    </xf>
    <xf numFmtId="0" fontId="4" fillId="0" borderId="13" xfId="0" applyFont="1" applyBorder="1" applyAlignment="1">
      <alignment horizontal="center" vertical="center"/>
    </xf>
    <xf numFmtId="0" fontId="0" fillId="0" borderId="8" xfId="0" applyBorder="1" applyProtection="1">
      <protection locked="0"/>
    </xf>
    <xf numFmtId="0" fontId="34" fillId="0" borderId="75" xfId="0" applyFont="1" applyBorder="1" applyAlignment="1">
      <alignment vertical="center"/>
    </xf>
    <xf numFmtId="0" fontId="34" fillId="0" borderId="9" xfId="0" applyFont="1" applyBorder="1" applyAlignment="1">
      <alignment vertical="center"/>
    </xf>
    <xf numFmtId="0" fontId="4" fillId="0" borderId="16" xfId="0" applyFont="1" applyBorder="1" applyAlignment="1">
      <alignment horizontal="center" vertical="center"/>
    </xf>
    <xf numFmtId="0" fontId="4" fillId="0" borderId="17" xfId="0" applyFont="1" applyBorder="1" applyAlignment="1" applyProtection="1">
      <alignment vertical="center"/>
      <protection locked="0"/>
    </xf>
    <xf numFmtId="0" fontId="0" fillId="0" borderId="17" xfId="0" applyBorder="1" applyProtection="1">
      <protection locked="0"/>
    </xf>
    <xf numFmtId="0" fontId="34" fillId="0" borderId="17" xfId="0" applyFont="1" applyBorder="1" applyAlignment="1">
      <alignment vertical="center"/>
    </xf>
    <xf numFmtId="0" fontId="34" fillId="0" borderId="18" xfId="0" applyFont="1" applyBorder="1" applyAlignment="1">
      <alignment vertical="center"/>
    </xf>
    <xf numFmtId="0" fontId="4" fillId="2" borderId="36" xfId="0" applyFont="1" applyFill="1" applyBorder="1"/>
    <xf numFmtId="0" fontId="4" fillId="2" borderId="37" xfId="0" applyFont="1" applyFill="1" applyBorder="1"/>
    <xf numFmtId="0" fontId="4" fillId="2" borderId="38" xfId="0" applyFont="1" applyFill="1" applyBorder="1"/>
    <xf numFmtId="0" fontId="4" fillId="2" borderId="59" xfId="0" applyFont="1" applyFill="1" applyBorder="1"/>
    <xf numFmtId="0" fontId="4" fillId="4" borderId="36" xfId="0" applyFont="1" applyFill="1" applyBorder="1" applyAlignment="1">
      <alignment horizontal="center"/>
    </xf>
    <xf numFmtId="0" fontId="4" fillId="4" borderId="37" xfId="0" applyFont="1" applyFill="1" applyBorder="1" applyAlignment="1">
      <alignment horizontal="center"/>
    </xf>
    <xf numFmtId="0" fontId="4" fillId="4" borderId="38" xfId="0" applyFont="1" applyFill="1" applyBorder="1" applyAlignment="1">
      <alignment horizontal="center"/>
    </xf>
    <xf numFmtId="0" fontId="4" fillId="2" borderId="72" xfId="0" applyFont="1" applyFill="1" applyBorder="1"/>
    <xf numFmtId="0" fontId="37" fillId="4" borderId="59" xfId="0" applyFont="1" applyFill="1" applyBorder="1" applyAlignment="1">
      <alignment horizontal="center" vertical="center"/>
    </xf>
    <xf numFmtId="0" fontId="37" fillId="4" borderId="0" xfId="0" applyFont="1" applyFill="1" applyAlignment="1">
      <alignment horizontal="center" vertical="center"/>
    </xf>
    <xf numFmtId="0" fontId="37" fillId="4" borderId="72" xfId="0" applyFont="1" applyFill="1" applyBorder="1" applyAlignment="1">
      <alignment horizontal="center" vertical="center"/>
    </xf>
    <xf numFmtId="0" fontId="4" fillId="4" borderId="59" xfId="0" applyFont="1" applyFill="1" applyBorder="1"/>
    <xf numFmtId="0" fontId="4" fillId="4" borderId="0" xfId="0" applyFont="1" applyFill="1"/>
    <xf numFmtId="0" fontId="4" fillId="4" borderId="72" xfId="0" applyFont="1" applyFill="1" applyBorder="1"/>
    <xf numFmtId="0" fontId="4" fillId="4" borderId="31" xfId="0" applyFont="1" applyFill="1" applyBorder="1" applyAlignment="1">
      <alignment horizontal="center"/>
    </xf>
    <xf numFmtId="177" fontId="4" fillId="4" borderId="31" xfId="0" applyNumberFormat="1" applyFont="1" applyFill="1" applyBorder="1" applyAlignment="1">
      <alignment horizontal="center"/>
    </xf>
    <xf numFmtId="0" fontId="4" fillId="4" borderId="76" xfId="0" applyFont="1" applyFill="1" applyBorder="1"/>
    <xf numFmtId="0" fontId="4" fillId="4" borderId="34" xfId="0" applyFont="1" applyFill="1" applyBorder="1"/>
    <xf numFmtId="0" fontId="4" fillId="4" borderId="35" xfId="0" applyFont="1" applyFill="1" applyBorder="1"/>
    <xf numFmtId="0" fontId="4" fillId="2" borderId="76" xfId="0" applyFont="1" applyFill="1" applyBorder="1"/>
    <xf numFmtId="0" fontId="4" fillId="2" borderId="35" xfId="0" applyFont="1" applyFill="1" applyBorder="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Hyperlink 2" xfId="49"/>
    <cellStyle name="Normal 2" xfId="50"/>
    <cellStyle name="Normal 2 2" xfId="51"/>
    <cellStyle name="Normal 2 2 2" xfId="52"/>
    <cellStyle name="Normal 2 3" xfId="53"/>
    <cellStyle name="Normal 3" xfId="54"/>
    <cellStyle name="Normal 3 2" xfId="55"/>
    <cellStyle name="Normal 5" xfId="56"/>
    <cellStyle name="常规 10" xfId="57"/>
    <cellStyle name="常规 2 2" xfId="58"/>
    <cellStyle name="常规 3" xfId="59"/>
    <cellStyle name="常规 4" xfId="60"/>
  </cellStyles>
  <dxfs count="16">
    <dxf>
      <fill>
        <patternFill patternType="solid">
          <bgColor theme="0" tint="-0.499984740745262"/>
        </patternFill>
      </fill>
    </dxf>
    <dxf>
      <font>
        <b val="0"/>
        <i val="0"/>
      </font>
      <fill>
        <patternFill patternType="solid">
          <bgColor theme="0" tint="-0.499984740745262"/>
        </patternFill>
      </fill>
    </dxf>
    <dxf>
      <fill>
        <patternFill patternType="solid">
          <bgColor rgb="FFC40000"/>
        </patternFill>
      </fill>
    </dxf>
    <dxf>
      <fill>
        <patternFill patternType="solid">
          <bgColor rgb="FF92D050"/>
        </patternFill>
      </fill>
    </dxf>
    <dxf>
      <fill>
        <patternFill patternType="solid">
          <bgColor rgb="FFFFFF00"/>
        </patternFill>
      </fill>
    </dxf>
    <dxf>
      <fill>
        <patternFill patternType="solid">
          <bgColor rgb="FFFF0000"/>
        </patternFill>
      </fill>
    </dxf>
    <dxf>
      <font>
        <b val="1"/>
        <i val="0"/>
      </font>
      <fill>
        <patternFill patternType="solid">
          <bgColor theme="9"/>
        </patternFill>
      </fill>
    </dxf>
    <dxf>
      <fill>
        <patternFill patternType="solid">
          <bgColor theme="5" tint="0.799920651875362"/>
        </patternFill>
      </fill>
    </dxf>
    <dxf>
      <font>
        <color rgb="FFFF0000"/>
      </font>
      <fill>
        <patternFill patternType="solid">
          <bgColor theme="5" tint="0.799920651875362"/>
        </patternFill>
      </fill>
    </dxf>
    <dxf>
      <font>
        <b val="1"/>
        <i val="0"/>
        <color theme="9" tint="-0.249946592608417"/>
      </font>
    </dxf>
    <dxf>
      <font>
        <b val="1"/>
        <i val="0"/>
        <color rgb="FFC00000"/>
      </font>
    </dxf>
    <dxf>
      <font>
        <b val="1"/>
        <i val="0"/>
      </font>
      <fill>
        <patternFill patternType="solid">
          <bgColor rgb="FF92D050"/>
        </patternFill>
      </fill>
    </dxf>
    <dxf>
      <font>
        <b val="1"/>
        <i val="0"/>
      </font>
      <fill>
        <patternFill patternType="solid">
          <bgColor theme="7"/>
        </patternFill>
      </fill>
    </dxf>
    <dxf>
      <font>
        <b val="1"/>
        <i val="0"/>
      </font>
      <fill>
        <patternFill patternType="solid">
          <bgColor rgb="FFFF0000"/>
        </patternFill>
      </fill>
    </dxf>
    <dxf>
      <font>
        <b val="1"/>
        <i val="0"/>
        <color theme="0"/>
      </font>
      <fill>
        <patternFill patternType="solid">
          <bgColor rgb="FFC00000"/>
        </patternFill>
      </fill>
    </dxf>
    <dxf>
      <font>
        <b val="1"/>
        <i val="0"/>
        <color theme="0"/>
      </font>
      <fill>
        <patternFill patternType="solid">
          <bgColor theme="9" tint="-0.24994659260841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customXml" Target="../customXml/item1.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externalLink" Target="externalLinks/externalLink1.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7</xdr:col>
      <xdr:colOff>352768</xdr:colOff>
      <xdr:row>49</xdr:row>
      <xdr:rowOff>69058</xdr:rowOff>
    </xdr:from>
    <xdr:to>
      <xdr:col>8</xdr:col>
      <xdr:colOff>2216944</xdr:colOff>
      <xdr:row>49</xdr:row>
      <xdr:rowOff>516732</xdr:rowOff>
    </xdr:to>
    <xdr:sp macro="[0]!风险项筛选">
      <xdr:nvSpPr>
        <xdr:cNvPr id="3" name="矩形: 圆角 5"/>
        <xdr:cNvSpPr/>
      </xdr:nvSpPr>
      <xdr:spPr>
        <a:xfrm>
          <a:off x="9867265" y="20750530"/>
          <a:ext cx="2733675" cy="447675"/>
        </a:xfrm>
        <a:prstGeom prst="roundRect">
          <a:avLst>
            <a:gd name="adj" fmla="val 0"/>
          </a:avLst>
        </a:prstGeom>
        <a:solidFill>
          <a:schemeClr val="accent5">
            <a:lumMod val="20000"/>
            <a:lumOff val="80000"/>
          </a:scheme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defRPr/>
          </a:pPr>
          <a:r>
            <a:rPr kumimoji="0" lang="zh-CN" altLang="en-US" sz="1100" b="1" i="0" u="none" strike="noStrike" kern="0" cap="none" spc="0" normalizeH="0" baseline="0" noProof="0">
              <a:ln>
                <a:noFill/>
              </a:ln>
              <a:solidFill>
                <a:sysClr val="windowText" lastClr="000000"/>
              </a:solidFill>
              <a:effectLst/>
              <a:uLnTx/>
              <a:uFillTx/>
              <a:latin typeface="微软雅黑" panose="020B0503020204020204" pitchFamily="34" charset="-122"/>
              <a:ea typeface="微软雅黑" panose="020B0503020204020204" pitchFamily="34" charset="-122"/>
              <a:cs typeface="+mn-cs"/>
            </a:rPr>
            <a:t>完成问题评估，开展问题审核</a:t>
          </a:r>
          <a:endParaRPr kumimoji="0" lang="en-US" altLang="zh-CN" sz="1100" b="1" i="0" u="none" strike="noStrike" kern="0" cap="none" spc="0" normalizeH="0" baseline="0" noProof="0">
            <a:ln>
              <a:noFill/>
            </a:ln>
            <a:solidFill>
              <a:sysClr val="windowText" lastClr="000000"/>
            </a:solidFill>
            <a:effectLst/>
            <a:uLnTx/>
            <a:uFillTx/>
            <a:latin typeface="微软雅黑" panose="020B0503020204020204" pitchFamily="34" charset="-122"/>
            <a:ea typeface="微软雅黑" panose="020B0503020204020204" pitchFamily="34" charset="-122"/>
            <a:cs typeface="+mn-cs"/>
          </a:endParaRPr>
        </a:p>
      </xdr:txBody>
    </xdr:sp>
    <xdr:clientData fLocksWithSheet="0"/>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3</xdr:col>
      <xdr:colOff>2757715</xdr:colOff>
      <xdr:row>8</xdr:row>
      <xdr:rowOff>353786</xdr:rowOff>
    </xdr:from>
    <xdr:to>
      <xdr:col>6</xdr:col>
      <xdr:colOff>1224644</xdr:colOff>
      <xdr:row>10</xdr:row>
      <xdr:rowOff>45357</xdr:rowOff>
    </xdr:to>
    <xdr:sp>
      <xdr:nvSpPr>
        <xdr:cNvPr id="2" name="Callout: Line 1"/>
        <xdr:cNvSpPr/>
      </xdr:nvSpPr>
      <xdr:spPr>
        <a:xfrm>
          <a:off x="7724775" y="2738120"/>
          <a:ext cx="3822065" cy="283210"/>
        </a:xfrm>
        <a:prstGeom prst="borderCallout1">
          <a:avLst>
            <a:gd name="adj1" fmla="val 93750"/>
            <a:gd name="adj2" fmla="val 51667"/>
            <a:gd name="adj3" fmla="val 228786"/>
            <a:gd name="adj4" fmla="val 54254"/>
          </a:avLst>
        </a:prstGeom>
        <a:solidFill>
          <a:schemeClr val="accent2"/>
        </a:solidFill>
        <a:ln>
          <a:solidFill>
            <a:sysClr val="windowText" lastClr="000000"/>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b="1">
              <a:solidFill>
                <a:sysClr val="windowText" lastClr="000000"/>
              </a:solidFill>
            </a:rPr>
            <a:t>橙色部分，请根据”分类“及”评分标准“进行下拉选择</a:t>
          </a:r>
          <a:endParaRPr lang="en-GB" sz="1100" b="1">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Advisory/eng-202306/1436167/Shared%20Documents/D-Stage%203%20Deliver/D5-Deliverables%20and%20approval/D5-2%20Deliverables(Draft%20and%20Final)/04.&#25968;&#25454;&#36164;&#20135;&#28165;&#21333;&#21450;&#20998;&#31867;&#20998;&#32423;/KPMG/8.&#32593;&#32476;&#23433;&#20840;&#27861;/CSL&#39033;&#30446;/Donaldson/&#20132;&#20184;&#29289;/02_Donaldson-Impacted%20Inventory.xlsx" TargetMode="External"/><Relationship Id="rId1" Type="http://schemas.openxmlformats.org/officeDocument/2006/relationships/externalLinkPath" Target="\Advisory\eng-202306\1436167\Shared%20Documents\D-Stage%203%20Deliver\D5-Deliverables%20and%20approval\D5-2%20Deliverables(Draft%20and%20Final)\04.&#25968;&#25454;&#36164;&#20135;&#28165;&#21333;&#21450;&#20998;&#31867;&#20998;&#32423;\KPMG\8.&#32593;&#32476;&#23433;&#20840;&#27861;\CSL&#39033;&#30446;\Donaldson\&#20132;&#20184;&#29289;\02_Donaldson-Impacted%20Inventory.xlsx" TargetMode="External"/></Relationships>
</file>

<file path=xl/externalLinks/externalLink1.xml><?xml version="1.0" encoding="utf-8"?>
<externalLink xmlns="http://schemas.openxmlformats.org/spreadsheetml/2006/main">
  <externalBook xmlns:r="http://schemas.openxmlformats.org/officeDocument/2006/relationships" r:id="rId1">
    <xxl21:alternateUrls xmlns:xxl21="http://schemas.microsoft.com/office/spreadsheetml/2021/extlinks2021">
      <xxl21:relativeUrl r:id="rId2"/>
    </xxl21:alternateUrls>
    <sheetNames>
      <sheetName val="Cover"/>
      <sheetName val="Data and System Inventory"/>
      <sheetName val="Security Tools Inventory"/>
      <sheetName val="Digital Channel"/>
      <sheetName val="Individual Subject"/>
      <sheetName val="CBDT Type"/>
      <sheetName val="Impacted Data"/>
      <sheetName val="Dropdown"/>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theme="4"/>
  </sheetPr>
  <dimension ref="B1:N41"/>
  <sheetViews>
    <sheetView zoomScale="80" zoomScaleNormal="80" topLeftCell="A3" workbookViewId="0">
      <selection activeCell="S39" sqref="S39"/>
    </sheetView>
  </sheetViews>
  <sheetFormatPr defaultColWidth="8.78181818181818" defaultRowHeight="14.5"/>
  <cols>
    <col min="1" max="1" width="8.78181818181818" style="64"/>
    <col min="2" max="2" width="1.78181818181818" style="64" customWidth="1"/>
    <col min="3" max="13" width="8.78181818181818" style="64"/>
    <col min="14" max="14" width="2" style="64" customWidth="1"/>
    <col min="15" max="16384" width="8.78181818181818" style="64"/>
  </cols>
  <sheetData>
    <row r="1" ht="23.1" customHeight="1"/>
    <row r="2" ht="11.1" customHeight="1" spans="2:14">
      <c r="B2" s="541"/>
      <c r="C2" s="542"/>
      <c r="D2" s="542"/>
      <c r="E2" s="542"/>
      <c r="F2" s="542"/>
      <c r="G2" s="542"/>
      <c r="H2" s="542"/>
      <c r="I2" s="542"/>
      <c r="J2" s="542"/>
      <c r="K2" s="542"/>
      <c r="L2" s="542"/>
      <c r="M2" s="542"/>
      <c r="N2" s="543"/>
    </row>
    <row r="3" ht="64.5" customHeight="1" spans="2:14">
      <c r="B3" s="544"/>
      <c r="C3" s="545"/>
      <c r="D3" s="546"/>
      <c r="E3" s="546"/>
      <c r="F3" s="546"/>
      <c r="G3" s="546"/>
      <c r="H3" s="546"/>
      <c r="I3" s="546"/>
      <c r="J3" s="546"/>
      <c r="K3" s="546"/>
      <c r="L3" s="546"/>
      <c r="M3" s="547"/>
      <c r="N3" s="548"/>
    </row>
    <row r="4" ht="20.55" customHeight="1" spans="2:14">
      <c r="B4" s="544"/>
      <c r="C4" s="549" t="s">
        <v>0</v>
      </c>
      <c r="D4" s="550"/>
      <c r="E4" s="550"/>
      <c r="F4" s="550"/>
      <c r="G4" s="550"/>
      <c r="H4" s="550"/>
      <c r="I4" s="550"/>
      <c r="J4" s="550"/>
      <c r="K4" s="550"/>
      <c r="L4" s="550"/>
      <c r="M4" s="551"/>
      <c r="N4" s="548"/>
    </row>
    <row r="5" spans="2:14">
      <c r="B5" s="544"/>
      <c r="C5" s="552"/>
      <c r="D5" s="553"/>
      <c r="E5" s="553"/>
      <c r="F5" s="553"/>
      <c r="G5" s="553"/>
      <c r="H5" s="553"/>
      <c r="I5" s="553"/>
      <c r="J5" s="553"/>
      <c r="K5" s="553"/>
      <c r="L5" s="553"/>
      <c r="M5" s="554"/>
      <c r="N5" s="548"/>
    </row>
    <row r="6" spans="2:14">
      <c r="B6" s="544"/>
      <c r="C6" s="552"/>
      <c r="D6" s="553"/>
      <c r="E6" s="553"/>
      <c r="F6" s="553"/>
      <c r="G6" s="553"/>
      <c r="H6" s="553"/>
      <c r="I6" s="553"/>
      <c r="J6" s="553"/>
      <c r="K6" s="553"/>
      <c r="L6" s="553"/>
      <c r="M6" s="554"/>
      <c r="N6" s="548"/>
    </row>
    <row r="7" spans="2:14">
      <c r="B7" s="544"/>
      <c r="C7" s="552"/>
      <c r="D7" s="553"/>
      <c r="E7" s="553"/>
      <c r="F7" s="553"/>
      <c r="G7" s="553"/>
      <c r="H7" s="553"/>
      <c r="I7" s="553"/>
      <c r="J7" s="553"/>
      <c r="K7" s="553"/>
      <c r="L7" s="553"/>
      <c r="M7" s="554"/>
      <c r="N7" s="548"/>
    </row>
    <row r="8" spans="2:14">
      <c r="B8" s="544"/>
      <c r="C8" s="552"/>
      <c r="D8" s="553"/>
      <c r="E8" s="553"/>
      <c r="F8" s="553"/>
      <c r="G8" s="553"/>
      <c r="H8" s="553"/>
      <c r="I8" s="553"/>
      <c r="J8" s="553"/>
      <c r="K8" s="553"/>
      <c r="L8" s="553"/>
      <c r="M8" s="554"/>
      <c r="N8" s="548"/>
    </row>
    <row r="9" spans="2:14">
      <c r="B9" s="544"/>
      <c r="C9" s="552"/>
      <c r="D9" s="553"/>
      <c r="E9" s="553"/>
      <c r="F9" s="553"/>
      <c r="G9" s="553"/>
      <c r="H9" s="553"/>
      <c r="I9" s="553"/>
      <c r="J9" s="553"/>
      <c r="K9" s="553"/>
      <c r="L9" s="553"/>
      <c r="M9" s="554"/>
      <c r="N9" s="548"/>
    </row>
    <row r="10" spans="2:14">
      <c r="B10" s="544"/>
      <c r="C10" s="552"/>
      <c r="D10" s="553"/>
      <c r="E10" s="553"/>
      <c r="F10" s="553"/>
      <c r="G10" s="553"/>
      <c r="H10" s="553"/>
      <c r="I10" s="553"/>
      <c r="J10" s="553"/>
      <c r="K10" s="553"/>
      <c r="L10" s="553"/>
      <c r="M10" s="554"/>
      <c r="N10" s="548"/>
    </row>
    <row r="11" spans="2:14">
      <c r="B11" s="544"/>
      <c r="C11" s="552"/>
      <c r="D11" s="553"/>
      <c r="E11" s="553"/>
      <c r="F11" s="553"/>
      <c r="G11" s="553"/>
      <c r="H11" s="553"/>
      <c r="I11" s="553"/>
      <c r="J11" s="553"/>
      <c r="K11" s="553"/>
      <c r="L11" s="553"/>
      <c r="M11" s="554"/>
      <c r="N11" s="548"/>
    </row>
    <row r="12" spans="2:14">
      <c r="B12" s="544"/>
      <c r="C12" s="552"/>
      <c r="D12" s="553"/>
      <c r="E12" s="553"/>
      <c r="F12" s="553"/>
      <c r="G12" s="553"/>
      <c r="H12" s="553"/>
      <c r="I12" s="553"/>
      <c r="J12" s="553"/>
      <c r="K12" s="553"/>
      <c r="L12" s="553"/>
      <c r="M12" s="554"/>
      <c r="N12" s="548"/>
    </row>
    <row r="13" spans="2:14">
      <c r="B13" s="544"/>
      <c r="C13" s="552"/>
      <c r="D13" s="553"/>
      <c r="E13" s="553"/>
      <c r="F13" s="553"/>
      <c r="G13" s="553"/>
      <c r="H13" s="553"/>
      <c r="I13" s="553"/>
      <c r="J13" s="553"/>
      <c r="K13" s="553"/>
      <c r="L13" s="553"/>
      <c r="M13" s="554"/>
      <c r="N13" s="548"/>
    </row>
    <row r="14" spans="2:14">
      <c r="B14" s="544"/>
      <c r="C14" s="552"/>
      <c r="D14" s="553"/>
      <c r="E14" s="553"/>
      <c r="F14" s="553"/>
      <c r="G14" s="553"/>
      <c r="H14" s="553"/>
      <c r="I14" s="553"/>
      <c r="J14" s="553"/>
      <c r="K14" s="553"/>
      <c r="L14" s="553"/>
      <c r="M14" s="554"/>
      <c r="N14" s="548"/>
    </row>
    <row r="15" spans="2:14">
      <c r="B15" s="544"/>
      <c r="C15" s="552"/>
      <c r="D15" s="553"/>
      <c r="E15" s="553"/>
      <c r="F15" s="553"/>
      <c r="G15" s="553"/>
      <c r="H15" s="553"/>
      <c r="I15" s="553"/>
      <c r="J15" s="553"/>
      <c r="K15" s="553"/>
      <c r="L15" s="553"/>
      <c r="M15" s="554"/>
      <c r="N15" s="548"/>
    </row>
    <row r="16" spans="2:14">
      <c r="B16" s="544"/>
      <c r="C16" s="552"/>
      <c r="D16" s="553"/>
      <c r="E16" s="553"/>
      <c r="F16" s="553"/>
      <c r="G16" s="553"/>
      <c r="H16" s="553"/>
      <c r="I16" s="553"/>
      <c r="J16" s="553"/>
      <c r="K16" s="553"/>
      <c r="L16" s="553"/>
      <c r="M16" s="554"/>
      <c r="N16" s="548"/>
    </row>
    <row r="17" spans="2:14">
      <c r="B17" s="544"/>
      <c r="C17" s="552"/>
      <c r="D17" s="553"/>
      <c r="E17" s="553"/>
      <c r="F17" s="553"/>
      <c r="G17" s="553"/>
      <c r="H17" s="553"/>
      <c r="I17" s="553"/>
      <c r="J17" s="553"/>
      <c r="K17" s="553"/>
      <c r="L17" s="553"/>
      <c r="M17" s="554"/>
      <c r="N17" s="548"/>
    </row>
    <row r="18" spans="2:14">
      <c r="B18" s="544"/>
      <c r="C18" s="552"/>
      <c r="D18" s="553"/>
      <c r="E18" s="553"/>
      <c r="F18" s="553"/>
      <c r="G18" s="553"/>
      <c r="H18" s="553"/>
      <c r="I18" s="553"/>
      <c r="J18" s="553"/>
      <c r="K18" s="553"/>
      <c r="L18" s="553"/>
      <c r="M18" s="554"/>
      <c r="N18" s="548"/>
    </row>
    <row r="19" spans="2:14">
      <c r="B19" s="544"/>
      <c r="C19" s="552"/>
      <c r="D19" s="553"/>
      <c r="E19" s="553"/>
      <c r="F19" s="553"/>
      <c r="G19" s="553"/>
      <c r="H19" s="553"/>
      <c r="I19" s="553"/>
      <c r="J19" s="553"/>
      <c r="K19" s="553"/>
      <c r="L19" s="553"/>
      <c r="M19" s="554"/>
      <c r="N19" s="548"/>
    </row>
    <row r="20" spans="2:14">
      <c r="B20" s="544"/>
      <c r="C20" s="552"/>
      <c r="D20" s="553"/>
      <c r="E20" s="553"/>
      <c r="F20" s="553"/>
      <c r="G20" s="553"/>
      <c r="H20" s="553"/>
      <c r="I20" s="553"/>
      <c r="J20" s="553"/>
      <c r="K20" s="553"/>
      <c r="L20" s="553"/>
      <c r="M20" s="554"/>
      <c r="N20" s="548"/>
    </row>
    <row r="21" spans="2:14">
      <c r="B21" s="544"/>
      <c r="C21" s="552"/>
      <c r="D21" s="553"/>
      <c r="E21" s="553"/>
      <c r="F21" s="553"/>
      <c r="G21" s="553"/>
      <c r="H21" s="553"/>
      <c r="I21" s="553"/>
      <c r="J21" s="553"/>
      <c r="K21" s="553"/>
      <c r="L21" s="553"/>
      <c r="M21" s="554"/>
      <c r="N21" s="548"/>
    </row>
    <row r="22" spans="2:14">
      <c r="B22" s="544"/>
      <c r="C22" s="552"/>
      <c r="D22" s="553"/>
      <c r="E22" s="553"/>
      <c r="F22" s="553"/>
      <c r="G22" s="553"/>
      <c r="H22" s="553"/>
      <c r="I22" s="553"/>
      <c r="J22" s="553"/>
      <c r="K22" s="553"/>
      <c r="L22" s="553"/>
      <c r="M22" s="554"/>
      <c r="N22" s="548"/>
    </row>
    <row r="23" spans="2:14">
      <c r="B23" s="544"/>
      <c r="C23" s="552"/>
      <c r="D23" s="553"/>
      <c r="E23" s="553"/>
      <c r="F23" s="553"/>
      <c r="G23" s="553"/>
      <c r="H23" s="553"/>
      <c r="I23" s="553"/>
      <c r="J23" s="553"/>
      <c r="K23" s="553"/>
      <c r="L23" s="553"/>
      <c r="M23" s="554"/>
      <c r="N23" s="548"/>
    </row>
    <row r="24" spans="2:14">
      <c r="B24" s="544"/>
      <c r="C24" s="552"/>
      <c r="D24" s="553"/>
      <c r="E24" s="553"/>
      <c r="F24" s="553" t="s">
        <v>1</v>
      </c>
      <c r="G24" s="555" t="str">
        <f>'基本信息（产品经理）'!D6</f>
        <v>亲情服务未成年存量筛查适配改造</v>
      </c>
      <c r="H24" s="555"/>
      <c r="I24" s="555"/>
      <c r="J24" s="553"/>
      <c r="K24" s="553"/>
      <c r="L24" s="553"/>
      <c r="M24" s="554"/>
      <c r="N24" s="548"/>
    </row>
    <row r="25" spans="2:14">
      <c r="B25" s="544"/>
      <c r="C25" s="552"/>
      <c r="D25" s="553"/>
      <c r="E25" s="553"/>
      <c r="F25" s="553"/>
      <c r="G25" s="553"/>
      <c r="H25" s="553"/>
      <c r="I25" s="553"/>
      <c r="J25" s="553"/>
      <c r="K25" s="553"/>
      <c r="L25" s="553"/>
      <c r="M25" s="554"/>
      <c r="N25" s="548"/>
    </row>
    <row r="26" spans="2:14">
      <c r="B26" s="544"/>
      <c r="C26" s="552"/>
      <c r="D26" s="553"/>
      <c r="E26" s="553"/>
      <c r="F26" s="553" t="s">
        <v>2</v>
      </c>
      <c r="G26" s="555" t="str">
        <f>'基本信息（产品经理）'!D5</f>
        <v>统一管理平台-风控系统</v>
      </c>
      <c r="H26" s="555"/>
      <c r="I26" s="555"/>
      <c r="J26" s="553"/>
      <c r="K26" s="553"/>
      <c r="L26" s="553"/>
      <c r="M26" s="554"/>
      <c r="N26" s="548"/>
    </row>
    <row r="27" spans="2:14">
      <c r="B27" s="544"/>
      <c r="C27" s="552"/>
      <c r="D27" s="553"/>
      <c r="E27" s="553"/>
      <c r="F27" s="553"/>
      <c r="G27" s="553"/>
      <c r="H27" s="553"/>
      <c r="I27" s="553"/>
      <c r="J27" s="553"/>
      <c r="K27" s="553"/>
      <c r="L27" s="553"/>
      <c r="M27" s="554"/>
      <c r="N27" s="548"/>
    </row>
    <row r="28" spans="2:14">
      <c r="B28" s="544"/>
      <c r="C28" s="552"/>
      <c r="D28" s="553"/>
      <c r="E28" s="553"/>
      <c r="F28" s="553" t="s">
        <v>3</v>
      </c>
      <c r="G28" s="555"/>
      <c r="H28" s="555"/>
      <c r="I28" s="555"/>
      <c r="J28" s="553"/>
      <c r="K28" s="553"/>
      <c r="L28" s="553"/>
      <c r="M28" s="554"/>
      <c r="N28" s="548"/>
    </row>
    <row r="29" spans="2:14">
      <c r="B29" s="544"/>
      <c r="C29" s="552"/>
      <c r="D29" s="553"/>
      <c r="E29" s="553"/>
      <c r="F29" s="553"/>
      <c r="G29" s="553"/>
      <c r="H29" s="553"/>
      <c r="I29" s="553"/>
      <c r="J29" s="553"/>
      <c r="K29" s="553"/>
      <c r="L29" s="553"/>
      <c r="M29" s="554"/>
      <c r="N29" s="548"/>
    </row>
    <row r="30" spans="2:14">
      <c r="B30" s="544"/>
      <c r="C30" s="552"/>
      <c r="D30" s="553"/>
      <c r="E30" s="553"/>
      <c r="F30" s="553" t="s">
        <v>4</v>
      </c>
      <c r="G30" s="555"/>
      <c r="H30" s="555"/>
      <c r="I30" s="555"/>
      <c r="J30" s="553"/>
      <c r="K30" s="553"/>
      <c r="L30" s="553"/>
      <c r="M30" s="554"/>
      <c r="N30" s="548"/>
    </row>
    <row r="31" spans="2:14">
      <c r="B31" s="544"/>
      <c r="C31" s="552"/>
      <c r="D31" s="553"/>
      <c r="E31" s="553"/>
      <c r="F31" s="553"/>
      <c r="G31" s="553"/>
      <c r="H31" s="553"/>
      <c r="I31" s="553"/>
      <c r="J31" s="553"/>
      <c r="K31" s="553"/>
      <c r="L31" s="553"/>
      <c r="M31" s="554"/>
      <c r="N31" s="548"/>
    </row>
    <row r="32" spans="2:14">
      <c r="B32" s="544"/>
      <c r="C32" s="552"/>
      <c r="D32" s="553"/>
      <c r="E32" s="553"/>
      <c r="F32" s="553" t="s">
        <v>5</v>
      </c>
      <c r="G32" s="556"/>
      <c r="H32" s="556"/>
      <c r="I32" s="556"/>
      <c r="J32" s="553"/>
      <c r="K32" s="553"/>
      <c r="L32" s="553"/>
      <c r="M32" s="554"/>
      <c r="N32" s="548"/>
    </row>
    <row r="33" spans="2:14">
      <c r="B33" s="544"/>
      <c r="C33" s="552"/>
      <c r="D33" s="553"/>
      <c r="E33" s="553"/>
      <c r="F33" s="553"/>
      <c r="G33" s="553"/>
      <c r="H33" s="553"/>
      <c r="I33" s="553"/>
      <c r="J33" s="553"/>
      <c r="K33" s="553"/>
      <c r="L33" s="553"/>
      <c r="M33" s="554"/>
      <c r="N33" s="548"/>
    </row>
    <row r="34" spans="2:14">
      <c r="B34" s="544"/>
      <c r="C34" s="552"/>
      <c r="D34" s="553"/>
      <c r="E34" s="553"/>
      <c r="F34" s="553"/>
      <c r="G34" s="553"/>
      <c r="H34" s="553"/>
      <c r="I34" s="553"/>
      <c r="J34" s="553"/>
      <c r="K34" s="553"/>
      <c r="L34" s="553"/>
      <c r="M34" s="554"/>
      <c r="N34" s="548"/>
    </row>
    <row r="35" spans="2:14">
      <c r="B35" s="544"/>
      <c r="C35" s="552"/>
      <c r="D35" s="553"/>
      <c r="E35" s="553"/>
      <c r="F35" s="553"/>
      <c r="G35" s="553"/>
      <c r="H35" s="553"/>
      <c r="I35" s="553"/>
      <c r="J35" s="553"/>
      <c r="K35" s="553"/>
      <c r="L35" s="553"/>
      <c r="M35" s="554"/>
      <c r="N35" s="548"/>
    </row>
    <row r="36" spans="2:14">
      <c r="B36" s="544"/>
      <c r="C36" s="552"/>
      <c r="D36" s="553"/>
      <c r="E36" s="553"/>
      <c r="F36" s="553"/>
      <c r="G36" s="553"/>
      <c r="H36" s="553"/>
      <c r="I36" s="553"/>
      <c r="J36" s="553"/>
      <c r="K36" s="553"/>
      <c r="L36" s="553"/>
      <c r="M36" s="554"/>
      <c r="N36" s="548"/>
    </row>
    <row r="37" spans="2:14">
      <c r="B37" s="544"/>
      <c r="C37" s="552"/>
      <c r="D37" s="553"/>
      <c r="E37" s="553"/>
      <c r="F37" s="553"/>
      <c r="G37" s="553"/>
      <c r="H37" s="553"/>
      <c r="I37" s="553"/>
      <c r="J37" s="553"/>
      <c r="K37" s="553"/>
      <c r="L37" s="553"/>
      <c r="M37" s="554"/>
      <c r="N37" s="548"/>
    </row>
    <row r="38" spans="2:14">
      <c r="B38" s="544"/>
      <c r="C38" s="552"/>
      <c r="D38" s="553"/>
      <c r="E38" s="553"/>
      <c r="F38" s="553"/>
      <c r="G38" s="553"/>
      <c r="H38" s="553"/>
      <c r="I38" s="553"/>
      <c r="J38" s="553"/>
      <c r="K38" s="553"/>
      <c r="L38" s="553"/>
      <c r="M38" s="554"/>
      <c r="N38" s="548"/>
    </row>
    <row r="39" spans="2:14">
      <c r="B39" s="544"/>
      <c r="C39" s="552"/>
      <c r="D39" s="553"/>
      <c r="E39" s="553"/>
      <c r="F39" s="553"/>
      <c r="G39" s="553"/>
      <c r="H39" s="553"/>
      <c r="I39" s="553"/>
      <c r="J39" s="553"/>
      <c r="K39" s="553"/>
      <c r="L39" s="553"/>
      <c r="M39" s="554"/>
      <c r="N39" s="548"/>
    </row>
    <row r="40" ht="15.25" spans="2:14">
      <c r="B40" s="544"/>
      <c r="C40" s="557"/>
      <c r="D40" s="558"/>
      <c r="E40" s="558"/>
      <c r="F40" s="558"/>
      <c r="G40" s="558"/>
      <c r="H40" s="558"/>
      <c r="I40" s="558"/>
      <c r="J40" s="558"/>
      <c r="K40" s="558"/>
      <c r="L40" s="558"/>
      <c r="M40" s="559"/>
      <c r="N40" s="548"/>
    </row>
    <row r="41" ht="12" customHeight="1" spans="2:14">
      <c r="B41" s="560"/>
      <c r="C41" s="236"/>
      <c r="D41" s="236"/>
      <c r="E41" s="236"/>
      <c r="F41" s="236"/>
      <c r="G41" s="236"/>
      <c r="H41" s="236"/>
      <c r="I41" s="236"/>
      <c r="J41" s="236"/>
      <c r="K41" s="236"/>
      <c r="L41" s="236"/>
      <c r="M41" s="236"/>
      <c r="N41" s="561"/>
    </row>
  </sheetData>
  <mergeCells count="7">
    <mergeCell ref="C3:M3"/>
    <mergeCell ref="C4:M4"/>
    <mergeCell ref="G24:I24"/>
    <mergeCell ref="G26:I26"/>
    <mergeCell ref="G28:I28"/>
    <mergeCell ref="G30:I30"/>
    <mergeCell ref="G32:I32"/>
  </mergeCells>
  <pageMargins left="0.7" right="0.7" top="0.75" bottom="0.75" header="0.3" footer="0.3"/>
  <pageSetup paperSize="1" orientation="portrait" horizontalDpi="1200" verticalDpi="12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4"/>
  </sheetPr>
  <dimension ref="B2:G53"/>
  <sheetViews>
    <sheetView tabSelected="1" zoomScale="85" zoomScaleNormal="85" workbookViewId="0">
      <selection activeCell="E19" sqref="E19"/>
    </sheetView>
  </sheetViews>
  <sheetFormatPr defaultColWidth="8.78181818181818" defaultRowHeight="14.5" outlineLevelCol="6"/>
  <cols>
    <col min="1" max="1" width="8.78181818181818" style="64"/>
    <col min="2" max="2" width="4.44545454545455" style="82" customWidth="1"/>
    <col min="3" max="3" width="63.2181818181818" style="65" customWidth="1"/>
    <col min="4" max="4" width="38.2181818181818" style="65" customWidth="1"/>
    <col min="5" max="5" width="26.7818181818182" style="65" customWidth="1"/>
    <col min="6" max="6" width="26.7818181818182" style="64" customWidth="1"/>
    <col min="7" max="7" width="48" style="64" customWidth="1"/>
    <col min="8" max="16384" width="8.78181818181818" style="64"/>
  </cols>
  <sheetData>
    <row r="2" ht="22.05" customHeight="1" spans="2:7">
      <c r="B2" s="483" t="s">
        <v>6</v>
      </c>
      <c r="C2" s="484"/>
      <c r="D2" s="484"/>
      <c r="E2" s="484"/>
      <c r="F2" s="484"/>
      <c r="G2" s="485"/>
    </row>
    <row r="3" spans="2:7">
      <c r="B3" s="486" t="s">
        <v>7</v>
      </c>
      <c r="C3" s="487" t="s">
        <v>8</v>
      </c>
      <c r="D3" s="487" t="s">
        <v>9</v>
      </c>
      <c r="E3" s="487" t="s">
        <v>10</v>
      </c>
      <c r="F3" s="488" t="s">
        <v>11</v>
      </c>
      <c r="G3" s="489" t="s">
        <v>12</v>
      </c>
    </row>
    <row r="4" spans="2:7">
      <c r="B4" s="490" t="s">
        <v>13</v>
      </c>
      <c r="C4" s="491"/>
      <c r="D4" s="491"/>
      <c r="E4" s="491"/>
      <c r="F4" s="491"/>
      <c r="G4" s="492"/>
    </row>
    <row r="5" spans="2:7">
      <c r="B5" s="493">
        <v>1</v>
      </c>
      <c r="C5" s="494" t="s">
        <v>14</v>
      </c>
      <c r="D5" s="495" t="s">
        <v>15</v>
      </c>
      <c r="E5" s="439"/>
      <c r="F5" s="496" t="s">
        <v>16</v>
      </c>
      <c r="G5" s="497" t="s">
        <v>17</v>
      </c>
    </row>
    <row r="6" spans="2:7">
      <c r="B6" s="493">
        <v>2</v>
      </c>
      <c r="C6" s="494" t="s">
        <v>18</v>
      </c>
      <c r="D6" s="495" t="s">
        <v>19</v>
      </c>
      <c r="E6" s="439" t="s">
        <v>20</v>
      </c>
      <c r="F6" s="496" t="s">
        <v>16</v>
      </c>
      <c r="G6" s="497" t="s">
        <v>21</v>
      </c>
    </row>
    <row r="7" spans="2:7">
      <c r="B7" s="493">
        <v>3</v>
      </c>
      <c r="C7" s="494" t="s">
        <v>22</v>
      </c>
      <c r="D7" s="498" t="s">
        <v>23</v>
      </c>
      <c r="E7" s="439"/>
      <c r="F7" s="496" t="s">
        <v>16</v>
      </c>
      <c r="G7" s="497" t="s">
        <v>24</v>
      </c>
    </row>
    <row r="8" spans="2:7">
      <c r="B8" s="493">
        <v>4</v>
      </c>
      <c r="C8" s="494" t="s">
        <v>25</v>
      </c>
      <c r="D8" s="498" t="s">
        <v>26</v>
      </c>
      <c r="E8" s="439"/>
      <c r="F8" s="496" t="s">
        <v>16</v>
      </c>
      <c r="G8" s="497" t="s">
        <v>27</v>
      </c>
    </row>
    <row r="9" ht="58" spans="2:7">
      <c r="B9" s="493">
        <v>5</v>
      </c>
      <c r="C9" s="494" t="s">
        <v>28</v>
      </c>
      <c r="D9" s="499" t="s">
        <v>29</v>
      </c>
      <c r="E9" s="500"/>
      <c r="F9" s="496" t="s">
        <v>16</v>
      </c>
      <c r="G9" s="501" t="s">
        <v>30</v>
      </c>
    </row>
    <row r="10" ht="15.25" spans="2:7">
      <c r="B10" s="493">
        <v>6</v>
      </c>
      <c r="C10" s="494" t="s">
        <v>31</v>
      </c>
      <c r="D10" s="439"/>
      <c r="E10" s="439" t="s">
        <v>32</v>
      </c>
      <c r="F10" s="496" t="s">
        <v>16</v>
      </c>
      <c r="G10" s="497" t="s">
        <v>33</v>
      </c>
    </row>
    <row r="11" spans="2:7">
      <c r="B11" s="502" t="s">
        <v>34</v>
      </c>
      <c r="C11" s="503"/>
      <c r="D11" s="503"/>
      <c r="E11" s="503"/>
      <c r="F11" s="503"/>
      <c r="G11" s="504"/>
    </row>
    <row r="12" ht="13.95" customHeight="1" spans="2:7">
      <c r="B12" s="505">
        <v>7</v>
      </c>
      <c r="C12" s="506" t="s">
        <v>35</v>
      </c>
      <c r="D12" s="507" t="s">
        <v>36</v>
      </c>
      <c r="E12" s="500"/>
      <c r="F12" s="508"/>
      <c r="G12" s="497"/>
    </row>
    <row r="13" ht="14.55" customHeight="1" spans="2:7">
      <c r="B13" s="509"/>
      <c r="C13" s="510"/>
      <c r="D13" s="507" t="s">
        <v>37</v>
      </c>
      <c r="E13" s="500"/>
      <c r="F13" s="511"/>
      <c r="G13" s="512"/>
    </row>
    <row r="14" ht="14.55" customHeight="1" spans="2:7">
      <c r="B14" s="509"/>
      <c r="C14" s="510"/>
      <c r="D14" s="500" t="s">
        <v>38</v>
      </c>
      <c r="E14" s="500"/>
      <c r="F14" s="513"/>
      <c r="G14" s="514"/>
    </row>
    <row r="15" ht="14.55" customHeight="1" spans="2:7">
      <c r="B15" s="509"/>
      <c r="C15" s="510"/>
      <c r="D15" s="500"/>
      <c r="E15" s="500"/>
      <c r="F15" s="513"/>
      <c r="G15" s="514"/>
    </row>
    <row r="16" ht="14.55" customHeight="1" spans="2:7">
      <c r="B16" s="509"/>
      <c r="C16" s="510"/>
      <c r="D16" s="500"/>
      <c r="E16" s="500"/>
      <c r="F16" s="513"/>
      <c r="G16" s="514"/>
    </row>
    <row r="17" ht="14.55" customHeight="1" spans="2:7">
      <c r="B17" s="509"/>
      <c r="C17" s="510"/>
      <c r="D17" s="500"/>
      <c r="E17" s="500"/>
      <c r="F17" s="513"/>
      <c r="G17" s="514"/>
    </row>
    <row r="18" ht="14.55" customHeight="1" spans="2:7">
      <c r="B18" s="509"/>
      <c r="C18" s="510"/>
      <c r="D18" s="500"/>
      <c r="E18" s="500"/>
      <c r="F18" s="513"/>
      <c r="G18" s="514"/>
    </row>
    <row r="19" ht="14.55" customHeight="1" spans="2:7">
      <c r="B19" s="509"/>
      <c r="C19" s="510"/>
      <c r="D19" s="500"/>
      <c r="E19" s="500"/>
      <c r="F19" s="513"/>
      <c r="G19" s="514"/>
    </row>
    <row r="20" ht="14.55" customHeight="1" spans="2:7">
      <c r="B20" s="509"/>
      <c r="C20" s="510"/>
      <c r="D20" s="500"/>
      <c r="E20" s="500"/>
      <c r="F20" s="513"/>
      <c r="G20" s="514"/>
    </row>
    <row r="21" ht="14.55" customHeight="1" spans="2:7">
      <c r="B21" s="509"/>
      <c r="C21" s="510"/>
      <c r="D21" s="500"/>
      <c r="E21" s="500"/>
      <c r="F21" s="513"/>
      <c r="G21" s="514"/>
    </row>
    <row r="22" ht="14.55" customHeight="1" spans="2:7">
      <c r="B22" s="505">
        <v>8</v>
      </c>
      <c r="C22" s="515" t="s">
        <v>39</v>
      </c>
      <c r="D22" s="439" t="s">
        <v>40</v>
      </c>
      <c r="E22" s="500"/>
      <c r="F22" s="513" t="s">
        <v>41</v>
      </c>
      <c r="G22" s="514" t="s">
        <v>42</v>
      </c>
    </row>
    <row r="23" spans="2:7">
      <c r="B23" s="509"/>
      <c r="C23" s="516"/>
      <c r="D23" s="439" t="s">
        <v>43</v>
      </c>
      <c r="E23" s="444"/>
      <c r="F23" s="513"/>
      <c r="G23" s="514" t="s">
        <v>43</v>
      </c>
    </row>
    <row r="24" spans="2:7">
      <c r="B24" s="509"/>
      <c r="C24" s="516"/>
      <c r="D24" s="439" t="s">
        <v>42</v>
      </c>
      <c r="E24" s="439"/>
      <c r="F24" s="513"/>
      <c r="G24" s="514" t="s">
        <v>44</v>
      </c>
    </row>
    <row r="25" spans="2:7">
      <c r="B25" s="509"/>
      <c r="C25" s="516"/>
      <c r="D25" s="439"/>
      <c r="E25" s="439"/>
      <c r="F25" s="513"/>
      <c r="G25" s="514"/>
    </row>
    <row r="26" spans="2:7">
      <c r="B26" s="509"/>
      <c r="C26" s="516"/>
      <c r="D26" s="439"/>
      <c r="E26" s="439"/>
      <c r="F26" s="513"/>
      <c r="G26" s="514"/>
    </row>
    <row r="27" spans="2:7">
      <c r="B27" s="509"/>
      <c r="C27" s="516"/>
      <c r="D27" s="439"/>
      <c r="E27" s="439"/>
      <c r="F27" s="513"/>
      <c r="G27" s="514"/>
    </row>
    <row r="28" spans="2:7">
      <c r="B28" s="517"/>
      <c r="C28" s="518"/>
      <c r="D28" s="439"/>
      <c r="E28" s="439"/>
      <c r="F28" s="513"/>
      <c r="G28" s="514"/>
    </row>
    <row r="29" ht="29" spans="2:7">
      <c r="B29" s="493">
        <v>9</v>
      </c>
      <c r="C29" s="519" t="s">
        <v>45</v>
      </c>
      <c r="D29" s="499" t="s">
        <v>46</v>
      </c>
      <c r="E29" s="500"/>
      <c r="F29" s="496" t="s">
        <v>16</v>
      </c>
      <c r="G29" s="497" t="s">
        <v>47</v>
      </c>
    </row>
    <row r="30" spans="2:7">
      <c r="B30" s="505">
        <v>10</v>
      </c>
      <c r="C30" s="506" t="s">
        <v>48</v>
      </c>
      <c r="D30" s="439" t="s">
        <v>49</v>
      </c>
      <c r="E30" s="439"/>
      <c r="F30" s="513" t="s">
        <v>41</v>
      </c>
      <c r="G30" s="520" t="s">
        <v>50</v>
      </c>
    </row>
    <row r="31" spans="2:7">
      <c r="B31" s="509"/>
      <c r="C31" s="510"/>
      <c r="D31" s="439"/>
      <c r="E31" s="439"/>
      <c r="F31" s="513"/>
      <c r="G31" s="520"/>
    </row>
    <row r="32" spans="2:7">
      <c r="B32" s="509"/>
      <c r="C32" s="510"/>
      <c r="D32" s="439"/>
      <c r="E32" s="439"/>
      <c r="F32" s="513"/>
      <c r="G32" s="520"/>
    </row>
    <row r="33" spans="2:7">
      <c r="B33" s="517"/>
      <c r="C33" s="521"/>
      <c r="D33" s="439"/>
      <c r="E33" s="439"/>
      <c r="F33" s="513"/>
      <c r="G33" s="520"/>
    </row>
    <row r="34" spans="2:7">
      <c r="B34" s="493">
        <v>11</v>
      </c>
      <c r="C34" s="519" t="s">
        <v>51</v>
      </c>
      <c r="D34" s="439" t="s">
        <v>52</v>
      </c>
      <c r="E34" s="522"/>
      <c r="F34" s="496" t="s">
        <v>41</v>
      </c>
      <c r="G34" s="497" t="s">
        <v>53</v>
      </c>
    </row>
    <row r="35" spans="2:7">
      <c r="B35" s="493">
        <v>12</v>
      </c>
      <c r="C35" s="519" t="s">
        <v>54</v>
      </c>
      <c r="D35" s="439" t="s">
        <v>55</v>
      </c>
      <c r="E35" s="439"/>
      <c r="F35" s="496" t="s">
        <v>41</v>
      </c>
      <c r="G35" s="497" t="s">
        <v>55</v>
      </c>
    </row>
    <row r="36" spans="2:7">
      <c r="B36" s="505">
        <v>13</v>
      </c>
      <c r="C36" s="515" t="s">
        <v>56</v>
      </c>
      <c r="D36" s="439" t="s">
        <v>43</v>
      </c>
      <c r="E36" s="439"/>
      <c r="F36" s="513" t="s">
        <v>41</v>
      </c>
      <c r="G36" s="514" t="s">
        <v>43</v>
      </c>
    </row>
    <row r="37" spans="2:7">
      <c r="B37" s="509"/>
      <c r="C37" s="516"/>
      <c r="D37" s="439" t="s">
        <v>40</v>
      </c>
      <c r="E37" s="439"/>
      <c r="F37" s="513"/>
      <c r="G37" s="497"/>
    </row>
    <row r="38" spans="2:7">
      <c r="B38" s="509"/>
      <c r="C38" s="516"/>
      <c r="D38" s="439"/>
      <c r="E38" s="439"/>
      <c r="F38" s="513"/>
      <c r="G38" s="497"/>
    </row>
    <row r="39" spans="2:7">
      <c r="B39" s="509"/>
      <c r="C39" s="516"/>
      <c r="D39" s="439"/>
      <c r="E39" s="439"/>
      <c r="F39" s="513"/>
      <c r="G39" s="497"/>
    </row>
    <row r="40" spans="2:7">
      <c r="B40" s="517"/>
      <c r="C40" s="518"/>
      <c r="D40" s="439"/>
      <c r="E40" s="439"/>
      <c r="F40" s="513"/>
      <c r="G40" s="497"/>
    </row>
    <row r="41" spans="2:7">
      <c r="B41" s="493">
        <v>14</v>
      </c>
      <c r="C41" s="519" t="s">
        <v>57</v>
      </c>
      <c r="D41" s="499" t="s">
        <v>58</v>
      </c>
      <c r="E41" s="523"/>
      <c r="F41" s="496" t="s">
        <v>16</v>
      </c>
      <c r="G41" s="497" t="s">
        <v>59</v>
      </c>
    </row>
    <row r="42" spans="2:7">
      <c r="B42" s="493">
        <v>15</v>
      </c>
      <c r="C42" s="519" t="s">
        <v>60</v>
      </c>
      <c r="D42" s="439" t="s">
        <v>52</v>
      </c>
      <c r="E42" s="439"/>
      <c r="F42" s="496" t="s">
        <v>41</v>
      </c>
      <c r="G42" s="497" t="s">
        <v>61</v>
      </c>
    </row>
    <row r="43" ht="38.1" customHeight="1" spans="2:7">
      <c r="B43" s="493">
        <v>16</v>
      </c>
      <c r="C43" s="524" t="s">
        <v>62</v>
      </c>
      <c r="D43" s="439" t="s">
        <v>63</v>
      </c>
      <c r="E43" s="439"/>
      <c r="F43" s="496" t="s">
        <v>41</v>
      </c>
      <c r="G43" s="514" t="s">
        <v>64</v>
      </c>
    </row>
    <row r="44" ht="29" spans="2:7">
      <c r="B44" s="505">
        <v>17</v>
      </c>
      <c r="C44" s="506" t="s">
        <v>65</v>
      </c>
      <c r="D44" s="444" t="s">
        <v>63</v>
      </c>
      <c r="E44" s="439"/>
      <c r="F44" s="496" t="s">
        <v>16</v>
      </c>
      <c r="G44" s="514" t="s">
        <v>66</v>
      </c>
    </row>
    <row r="45" spans="2:7">
      <c r="B45" s="505">
        <v>18</v>
      </c>
      <c r="C45" s="506" t="s">
        <v>67</v>
      </c>
      <c r="D45" s="439" t="s">
        <v>68</v>
      </c>
      <c r="E45" s="444" t="s">
        <v>69</v>
      </c>
      <c r="F45" s="513" t="s">
        <v>41</v>
      </c>
      <c r="G45" s="514" t="s">
        <v>70</v>
      </c>
    </row>
    <row r="46" spans="2:7">
      <c r="B46" s="509"/>
      <c r="C46" s="510"/>
      <c r="D46" s="500"/>
      <c r="E46" s="500"/>
      <c r="F46" s="513"/>
      <c r="G46" s="514"/>
    </row>
    <row r="47" spans="2:7">
      <c r="B47" s="509"/>
      <c r="C47" s="510"/>
      <c r="D47" s="439"/>
      <c r="E47" s="439"/>
      <c r="F47" s="513"/>
      <c r="G47" s="514"/>
    </row>
    <row r="48" ht="21" customHeight="1" spans="2:7">
      <c r="B48" s="517"/>
      <c r="C48" s="521"/>
      <c r="D48" s="439"/>
      <c r="E48" s="439"/>
      <c r="F48" s="513"/>
      <c r="G48" s="514"/>
    </row>
    <row r="49" ht="25.05" customHeight="1" spans="2:7">
      <c r="B49" s="493">
        <v>19</v>
      </c>
      <c r="C49" s="519" t="s">
        <v>71</v>
      </c>
      <c r="D49" s="499" t="s">
        <v>72</v>
      </c>
      <c r="E49" s="439"/>
      <c r="F49" s="496" t="s">
        <v>16</v>
      </c>
      <c r="G49" s="514" t="s">
        <v>72</v>
      </c>
    </row>
    <row r="50" ht="29.75" spans="2:7">
      <c r="B50" s="525">
        <v>20</v>
      </c>
      <c r="C50" s="526" t="s">
        <v>73</v>
      </c>
      <c r="D50" s="527" t="s">
        <v>74</v>
      </c>
      <c r="E50" s="460"/>
      <c r="F50" s="528" t="s">
        <v>16</v>
      </c>
      <c r="G50" s="529" t="s">
        <v>75</v>
      </c>
    </row>
    <row r="51" spans="2:7">
      <c r="B51" s="502" t="s">
        <v>76</v>
      </c>
      <c r="C51" s="503"/>
      <c r="D51" s="530"/>
      <c r="E51" s="530"/>
      <c r="F51" s="530"/>
      <c r="G51" s="531"/>
    </row>
    <row r="52" s="482" customFormat="1" ht="55.5" customHeight="1" spans="2:7">
      <c r="B52" s="532">
        <v>21</v>
      </c>
      <c r="C52" s="519" t="s">
        <v>77</v>
      </c>
      <c r="D52" s="523" t="s">
        <v>63</v>
      </c>
      <c r="E52" s="533"/>
      <c r="F52" s="534" t="s">
        <v>41</v>
      </c>
      <c r="G52" s="535" t="s">
        <v>55</v>
      </c>
    </row>
    <row r="53" s="482" customFormat="1" ht="87.75" spans="2:7">
      <c r="B53" s="536">
        <v>22</v>
      </c>
      <c r="C53" s="526" t="s">
        <v>78</v>
      </c>
      <c r="D53" s="537"/>
      <c r="E53" s="538"/>
      <c r="F53" s="539" t="s">
        <v>41</v>
      </c>
      <c r="G53" s="540" t="s">
        <v>79</v>
      </c>
    </row>
  </sheetData>
  <sheetProtection formatCells="0" formatColumns="0" formatRows="0" insertRows="0" insertColumns="0" insertHyperlinks="0" deleteColumns="0" deleteRows="0" sort="0" autoFilter="0" pivotTables="0"/>
  <protectedRanges>
    <protectedRange algorithmName="SHA-512" hashValue="icAVNZZB5Y/XFWd59MPe10yEu6puIGBpcCWqql/5Fg7GJ6If7NYSCswFcKY+NyZLVb/8klGDvtjuW94wS2GOBw==" saltValue="WwogcMu39xyslFd8o1L2Lg==" spinCount="100000" sqref="A$1:C$1048576 F$1:G$1048576" name="不可以修改区域"/>
  </protectedRanges>
  <mergeCells count="19">
    <mergeCell ref="B2:G2"/>
    <mergeCell ref="B4:G4"/>
    <mergeCell ref="B11:G11"/>
    <mergeCell ref="B51:G51"/>
    <mergeCell ref="B12:B21"/>
    <mergeCell ref="B22:B28"/>
    <mergeCell ref="B30:B33"/>
    <mergeCell ref="B36:B40"/>
    <mergeCell ref="B45:B48"/>
    <mergeCell ref="C12:C21"/>
    <mergeCell ref="C22:C28"/>
    <mergeCell ref="C30:C33"/>
    <mergeCell ref="C36:C40"/>
    <mergeCell ref="C45:C48"/>
    <mergeCell ref="F22:F28"/>
    <mergeCell ref="F30:F33"/>
    <mergeCell ref="F36:F40"/>
    <mergeCell ref="F45:F48"/>
    <mergeCell ref="G30:G33"/>
  </mergeCells>
  <conditionalFormatting sqref="D53">
    <cfRule type="expression" dxfId="0" priority="7">
      <formula>IF($D$52="否",1,0)</formula>
    </cfRule>
  </conditionalFormatting>
  <conditionalFormatting sqref="D36:D42">
    <cfRule type="expression" dxfId="0" priority="1">
      <formula>$D$35="否"</formula>
    </cfRule>
  </conditionalFormatting>
  <conditionalFormatting sqref="D22:D50 D52:D53">
    <cfRule type="expression" dxfId="1" priority="2">
      <formula>$D$12="否"</formula>
    </cfRule>
  </conditionalFormatting>
  <dataValidations count="12">
    <dataValidation type="list" allowBlank="1" showInputMessage="1" showErrorMessage="1" sqref="E22">
      <formula1>"采集,传输,存储,使用,共享,销毁"</formula1>
    </dataValidation>
    <dataValidation type="list" allowBlank="1" showInputMessage="1" showErrorMessage="1" sqref="D34">
      <formula1>下拉菜单参考!$M$4:$M$8</formula1>
    </dataValidation>
    <dataValidation type="list" allowBlank="1" showInputMessage="1" showErrorMessage="1" sqref="D35">
      <formula1>下拉菜单参考!$N$4:$N$5</formula1>
    </dataValidation>
    <dataValidation type="list" allowBlank="1" showInputMessage="1" showErrorMessage="1" sqref="D42">
      <formula1>下拉菜单参考!$Q$4:$Q$7</formula1>
    </dataValidation>
    <dataValidation type="list" allowBlank="1" showInputMessage="1" showErrorMessage="1" sqref="D43">
      <formula1>下拉菜单参考!$R$4:$R$5</formula1>
    </dataValidation>
    <dataValidation type="list" allowBlank="1" showInputMessage="1" showErrorMessage="1" sqref="D52">
      <formula1>下拉菜单参考!$W$4:$W$5</formula1>
    </dataValidation>
    <dataValidation type="list" allowBlank="1" showInputMessage="1" showErrorMessage="1" sqref="D53">
      <formula1>下拉菜单参考!$X$4:$X$8</formula1>
    </dataValidation>
    <dataValidation type="list" allowBlank="1" showInputMessage="1" showErrorMessage="1" sqref="D12:D21">
      <formula1>"收集,传输,存储,使用,自动化决策,委托处理,共享、提供,公开,删除,数据出境"</formula1>
    </dataValidation>
    <dataValidation type="list" allowBlank="1" showInputMessage="1" showErrorMessage="1" sqref="D22:D28">
      <formula1>"个人基本资料,个人身份信息,个人生物识别信息,网络身份标识信息,个人健康生理信息,个人教育工作信息,人才人事信息,个人财产信息,个人通信信息,联系人信息,个人上网记录,个人常用设备信息,社会保险信息,特定身份信息,个人位置信息,不满十四周岁未成年人个人信息,用户画像信息,其他个人信息（请在‘补充说明’列进行说明）"</formula1>
    </dataValidation>
    <dataValidation type="list" allowBlank="1" showInputMessage="1" showErrorMessage="1" sqref="D30:D33">
      <formula1>下拉菜单参考!$L$4:$L$7</formula1>
    </dataValidation>
    <dataValidation type="list" allowBlank="1" showInputMessage="1" showErrorMessage="1" sqref="D36:D40">
      <formula1>"个人财产信息,个人健康生理信息,个人生物识别信息,个人身份信息,人才人事信息,社会保险信息,特定身份信息,个人位置信息,不满十四周岁未成年人个人信息,其他敏感个人信息（请在‘补充说明’列进行说明）"</formula1>
    </dataValidation>
    <dataValidation type="list" allowBlank="1" showInputMessage="1" showErrorMessage="1" sqref="D45:D48">
      <formula1>下拉菜单参考!$T$4:$T$8</formula1>
    </dataValidation>
  </dataValidations>
  <hyperlinks>
    <hyperlink ref="C36:C40" location="参考!A1" display="敏感个人信息的类别&#10;（具体类别可以参照“参考”页面）"/>
    <hyperlink ref="C22:C28" location="参考!A1" display="个人信息类别&#10;（具体类别可以参照“参考”页面）"/>
  </hyperlinks>
  <pageMargins left="0.7" right="0.7" top="0.75" bottom="0.75" header="0.3" footer="0.3"/>
  <pageSetup paperSize="9" orientation="portrait" horizontalDpi="300" verticalDpi="300"/>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4"/>
  </sheetPr>
  <dimension ref="B2:J43"/>
  <sheetViews>
    <sheetView zoomScale="80" zoomScaleNormal="80" topLeftCell="B1" workbookViewId="0">
      <selection activeCell="I8" sqref="I8"/>
    </sheetView>
  </sheetViews>
  <sheetFormatPr defaultColWidth="8.78181818181818" defaultRowHeight="12.5"/>
  <cols>
    <col min="1" max="1" width="8.78181818181818" style="2"/>
    <col min="2" max="2" width="29.2181818181818" style="2" customWidth="1"/>
    <col min="3" max="3" width="36" style="2" customWidth="1"/>
    <col min="4" max="4" width="32.2181818181818" style="2" customWidth="1"/>
    <col min="5" max="5" width="17" style="2" customWidth="1"/>
    <col min="6" max="6" width="22.2181818181818" style="2" customWidth="1"/>
    <col min="7" max="7" width="21.6636363636364" style="2" customWidth="1"/>
    <col min="8" max="8" width="33.5545454545455" style="2" customWidth="1"/>
    <col min="9" max="9" width="35.2181818181818" style="2" customWidth="1"/>
    <col min="10" max="10" width="23.2181818181818" style="2" customWidth="1"/>
    <col min="11" max="11" width="2.21818181818182" style="2" customWidth="1"/>
    <col min="12" max="12" width="18.4454545454545" style="2" customWidth="1"/>
    <col min="13" max="13" width="26" style="2" customWidth="1"/>
    <col min="14" max="14" width="25.7818181818182" style="2" customWidth="1"/>
    <col min="15" max="16384" width="8.78181818181818" style="2"/>
  </cols>
  <sheetData>
    <row r="2" ht="13" spans="2:10">
      <c r="B2" s="432" t="s">
        <v>80</v>
      </c>
      <c r="C2" s="432"/>
      <c r="D2" s="432"/>
      <c r="E2" s="432"/>
      <c r="F2" s="432"/>
      <c r="G2" s="432"/>
      <c r="H2" s="432"/>
      <c r="I2" s="432"/>
      <c r="J2" s="433"/>
    </row>
    <row r="3" ht="13" spans="2:10">
      <c r="B3" s="434" t="s">
        <v>81</v>
      </c>
      <c r="C3" s="435" t="s">
        <v>45</v>
      </c>
      <c r="D3" s="436" t="s">
        <v>48</v>
      </c>
      <c r="E3" s="437" t="s">
        <v>82</v>
      </c>
      <c r="F3" s="436" t="s">
        <v>83</v>
      </c>
      <c r="G3" s="437" t="s">
        <v>84</v>
      </c>
      <c r="H3" s="436" t="s">
        <v>85</v>
      </c>
      <c r="I3" s="438" t="s">
        <v>86</v>
      </c>
      <c r="J3" s="438" t="s">
        <v>10</v>
      </c>
    </row>
    <row r="4" s="431" customFormat="1" ht="26" spans="2:10">
      <c r="B4" s="439" t="s">
        <v>42</v>
      </c>
      <c r="C4" s="440" t="s">
        <v>87</v>
      </c>
      <c r="D4" s="439" t="s">
        <v>49</v>
      </c>
      <c r="E4" s="441" t="s">
        <v>55</v>
      </c>
      <c r="F4" s="442" t="s">
        <v>88</v>
      </c>
      <c r="G4" s="443" t="s">
        <v>89</v>
      </c>
      <c r="H4" s="444" t="s">
        <v>69</v>
      </c>
      <c r="I4" s="445" t="s">
        <v>90</v>
      </c>
      <c r="J4" s="446"/>
    </row>
    <row r="5" ht="26" spans="2:10">
      <c r="B5" s="439" t="s">
        <v>40</v>
      </c>
      <c r="C5" s="440" t="s">
        <v>91</v>
      </c>
      <c r="D5" s="439" t="s">
        <v>49</v>
      </c>
      <c r="E5" s="441" t="s">
        <v>55</v>
      </c>
      <c r="F5" s="442" t="s">
        <v>88</v>
      </c>
      <c r="G5" s="443" t="s">
        <v>89</v>
      </c>
      <c r="H5" s="444" t="s">
        <v>69</v>
      </c>
      <c r="I5" s="445" t="s">
        <v>90</v>
      </c>
      <c r="J5" s="446"/>
    </row>
    <row r="6" ht="26" spans="2:10">
      <c r="B6" s="439" t="s">
        <v>43</v>
      </c>
      <c r="C6" s="440" t="s">
        <v>92</v>
      </c>
      <c r="D6" s="439" t="s">
        <v>49</v>
      </c>
      <c r="E6" s="441" t="s">
        <v>55</v>
      </c>
      <c r="F6" s="442" t="s">
        <v>88</v>
      </c>
      <c r="G6" s="443" t="s">
        <v>89</v>
      </c>
      <c r="H6" s="444" t="s">
        <v>69</v>
      </c>
      <c r="I6" s="445" t="s">
        <v>90</v>
      </c>
      <c r="J6" s="446"/>
    </row>
    <row r="7" ht="14.5" spans="2:10">
      <c r="B7" s="439"/>
      <c r="C7" s="447"/>
      <c r="D7" s="439"/>
      <c r="E7" s="441"/>
      <c r="F7" s="448"/>
      <c r="G7" s="449"/>
      <c r="H7" s="450"/>
      <c r="I7" s="451"/>
      <c r="J7" s="446"/>
    </row>
    <row r="8" ht="14.5" spans="2:10">
      <c r="B8" s="439"/>
      <c r="C8" s="447"/>
      <c r="D8" s="439"/>
      <c r="E8" s="441"/>
      <c r="F8" s="448"/>
      <c r="G8" s="449"/>
      <c r="H8" s="450"/>
      <c r="I8" s="451"/>
      <c r="J8" s="452"/>
    </row>
    <row r="9" ht="14.5" spans="2:10">
      <c r="B9" s="439"/>
      <c r="C9" s="453"/>
      <c r="D9" s="439"/>
      <c r="E9" s="441"/>
      <c r="F9" s="448"/>
      <c r="G9" s="449"/>
      <c r="H9" s="450"/>
      <c r="I9" s="451"/>
      <c r="J9" s="452"/>
    </row>
    <row r="10" ht="14.5" spans="2:10">
      <c r="B10" s="439"/>
      <c r="C10" s="453"/>
      <c r="D10" s="439"/>
      <c r="E10" s="441"/>
      <c r="F10" s="448"/>
      <c r="G10" s="449"/>
      <c r="H10" s="450"/>
      <c r="I10" s="451"/>
      <c r="J10" s="452"/>
    </row>
    <row r="11" ht="14.5" spans="2:10">
      <c r="B11" s="439"/>
      <c r="C11" s="454"/>
      <c r="D11" s="439"/>
      <c r="E11" s="441"/>
      <c r="F11" s="448"/>
      <c r="G11" s="449"/>
      <c r="H11" s="450"/>
      <c r="I11" s="451"/>
      <c r="J11" s="452"/>
    </row>
    <row r="12" ht="14.5" spans="2:10">
      <c r="B12" s="439"/>
      <c r="C12" s="447"/>
      <c r="D12" s="439"/>
      <c r="E12" s="441"/>
      <c r="F12" s="448"/>
      <c r="G12" s="449"/>
      <c r="H12" s="450"/>
      <c r="I12" s="451"/>
      <c r="J12" s="452"/>
    </row>
    <row r="13" ht="14.5" spans="2:10">
      <c r="B13" s="439"/>
      <c r="C13" s="447"/>
      <c r="D13" s="439"/>
      <c r="E13" s="441"/>
      <c r="F13" s="448"/>
      <c r="G13" s="449"/>
      <c r="H13" s="450"/>
      <c r="I13" s="451"/>
      <c r="J13" s="452"/>
    </row>
    <row r="14" ht="14.5" spans="2:10">
      <c r="B14" s="439"/>
      <c r="C14" s="447"/>
      <c r="D14" s="439"/>
      <c r="E14" s="441"/>
      <c r="F14" s="448"/>
      <c r="G14" s="449"/>
      <c r="H14" s="450"/>
      <c r="I14" s="451"/>
      <c r="J14" s="452"/>
    </row>
    <row r="15" ht="14.5" spans="2:10">
      <c r="B15" s="439"/>
      <c r="C15" s="455"/>
      <c r="D15" s="439"/>
      <c r="E15" s="441"/>
      <c r="F15" s="448"/>
      <c r="G15" s="449"/>
      <c r="H15" s="456"/>
      <c r="I15" s="21"/>
      <c r="J15" s="452"/>
    </row>
    <row r="16" ht="14.5" spans="2:10">
      <c r="B16" s="439"/>
      <c r="C16" s="457"/>
      <c r="D16" s="439"/>
      <c r="E16" s="441"/>
      <c r="F16" s="448"/>
      <c r="G16" s="448"/>
      <c r="H16" s="20"/>
      <c r="I16" s="20"/>
      <c r="J16" s="458"/>
    </row>
    <row r="17" ht="14.5" spans="2:10">
      <c r="B17" s="439"/>
      <c r="C17" s="457"/>
      <c r="D17" s="439"/>
      <c r="E17" s="441"/>
      <c r="F17" s="448"/>
      <c r="G17" s="448"/>
      <c r="H17" s="20"/>
      <c r="I17" s="20"/>
      <c r="J17" s="458"/>
    </row>
    <row r="18" ht="14.5" spans="2:10">
      <c r="B18" s="439"/>
      <c r="C18" s="454"/>
      <c r="D18" s="439"/>
      <c r="E18" s="441"/>
      <c r="F18" s="20"/>
      <c r="G18" s="20"/>
      <c r="H18" s="20"/>
      <c r="I18" s="20"/>
      <c r="J18" s="458"/>
    </row>
    <row r="19" ht="14.5" spans="2:10">
      <c r="B19" s="439"/>
      <c r="C19" s="454"/>
      <c r="D19" s="439"/>
      <c r="E19" s="441"/>
      <c r="F19" s="20"/>
      <c r="G19" s="20"/>
      <c r="H19" s="20"/>
      <c r="I19" s="20"/>
      <c r="J19" s="458"/>
    </row>
    <row r="20" ht="14.5" spans="2:10">
      <c r="B20" s="439"/>
      <c r="C20" s="454"/>
      <c r="D20" s="439"/>
      <c r="E20" s="441"/>
      <c r="F20" s="20"/>
      <c r="G20" s="20"/>
      <c r="H20" s="20"/>
      <c r="I20" s="20"/>
      <c r="J20" s="458"/>
    </row>
    <row r="21" ht="14.5" spans="2:10">
      <c r="B21" s="439"/>
      <c r="C21" s="454"/>
      <c r="D21" s="439"/>
      <c r="E21" s="441"/>
      <c r="F21" s="20"/>
      <c r="G21" s="20"/>
      <c r="H21" s="20"/>
      <c r="I21" s="20"/>
      <c r="J21" s="458"/>
    </row>
    <row r="22" ht="14.5" spans="2:10">
      <c r="B22" s="439"/>
      <c r="C22" s="454"/>
      <c r="D22" s="439"/>
      <c r="E22" s="441"/>
      <c r="F22" s="20"/>
      <c r="G22" s="20"/>
      <c r="H22" s="20"/>
      <c r="I22" s="20"/>
      <c r="J22" s="458"/>
    </row>
    <row r="23" ht="14.5" spans="2:10">
      <c r="B23" s="439"/>
      <c r="C23" s="454"/>
      <c r="D23" s="439"/>
      <c r="E23" s="441"/>
      <c r="F23" s="20"/>
      <c r="G23" s="20"/>
      <c r="H23" s="20"/>
      <c r="I23" s="20"/>
      <c r="J23" s="458"/>
    </row>
    <row r="24" ht="14.5" spans="2:10">
      <c r="B24" s="439"/>
      <c r="C24" s="454"/>
      <c r="D24" s="439"/>
      <c r="E24" s="441"/>
      <c r="F24" s="20"/>
      <c r="G24" s="20"/>
      <c r="H24" s="20"/>
      <c r="I24" s="20"/>
      <c r="J24" s="458"/>
    </row>
    <row r="25" ht="14.5" spans="2:10">
      <c r="B25" s="439"/>
      <c r="C25" s="454"/>
      <c r="D25" s="439"/>
      <c r="E25" s="441"/>
      <c r="F25" s="20"/>
      <c r="G25" s="20"/>
      <c r="H25" s="20"/>
      <c r="I25" s="20"/>
      <c r="J25" s="458"/>
    </row>
    <row r="26" ht="14.5" spans="2:10">
      <c r="B26" s="439"/>
      <c r="C26" s="454"/>
      <c r="D26" s="439"/>
      <c r="E26" s="441"/>
      <c r="F26" s="20"/>
      <c r="G26" s="20"/>
      <c r="H26" s="20"/>
      <c r="I26" s="20"/>
      <c r="J26" s="458"/>
    </row>
    <row r="27" ht="14.5" spans="2:10">
      <c r="B27" s="439"/>
      <c r="C27" s="454"/>
      <c r="D27" s="439"/>
      <c r="E27" s="441"/>
      <c r="F27" s="20"/>
      <c r="G27" s="20"/>
      <c r="H27" s="20"/>
      <c r="I27" s="20"/>
      <c r="J27" s="458"/>
    </row>
    <row r="28" ht="14.5" spans="2:10">
      <c r="B28" s="439"/>
      <c r="C28" s="454"/>
      <c r="D28" s="439"/>
      <c r="E28" s="441"/>
      <c r="F28" s="20"/>
      <c r="G28" s="20"/>
      <c r="H28" s="20"/>
      <c r="I28" s="20"/>
      <c r="J28" s="458"/>
    </row>
    <row r="29" ht="14.5" spans="2:10">
      <c r="B29" s="439"/>
      <c r="C29" s="454"/>
      <c r="D29" s="439"/>
      <c r="E29" s="441"/>
      <c r="F29" s="20"/>
      <c r="G29" s="20"/>
      <c r="H29" s="20"/>
      <c r="I29" s="20"/>
      <c r="J29" s="458"/>
    </row>
    <row r="30" ht="14.5" spans="2:10">
      <c r="B30" s="439"/>
      <c r="C30" s="454"/>
      <c r="D30" s="439"/>
      <c r="E30" s="441"/>
      <c r="F30" s="20"/>
      <c r="G30" s="20"/>
      <c r="H30" s="20"/>
      <c r="I30" s="20"/>
      <c r="J30" s="458"/>
    </row>
    <row r="31" ht="14.5" spans="2:10">
      <c r="B31" s="439"/>
      <c r="C31" s="454"/>
      <c r="D31" s="439"/>
      <c r="E31" s="441"/>
      <c r="F31" s="20"/>
      <c r="G31" s="20"/>
      <c r="H31" s="20"/>
      <c r="I31" s="20"/>
      <c r="J31" s="458"/>
    </row>
    <row r="32" ht="15.25" spans="2:10">
      <c r="B32" s="459"/>
      <c r="C32" s="459"/>
      <c r="D32" s="460"/>
      <c r="E32" s="461"/>
      <c r="F32" s="39"/>
      <c r="G32" s="39"/>
      <c r="H32" s="39"/>
      <c r="I32" s="39"/>
      <c r="J32" s="462"/>
    </row>
    <row r="35" ht="13.25"/>
    <row r="36" ht="13.75" spans="2:5">
      <c r="B36" s="463" t="s">
        <v>93</v>
      </c>
      <c r="C36" s="464"/>
      <c r="D36" s="465"/>
      <c r="E36" s="466"/>
    </row>
    <row r="37" spans="2:5">
      <c r="B37" s="467" t="s">
        <v>48</v>
      </c>
      <c r="C37" s="468" t="s">
        <v>94</v>
      </c>
      <c r="D37" s="469"/>
      <c r="E37" s="470"/>
    </row>
    <row r="38" spans="2:5">
      <c r="B38" s="29"/>
      <c r="C38" s="471" t="s">
        <v>49</v>
      </c>
      <c r="D38" s="472"/>
      <c r="E38" s="470"/>
    </row>
    <row r="39" spans="2:5">
      <c r="B39" s="29"/>
      <c r="C39" s="473" t="s">
        <v>95</v>
      </c>
      <c r="D39" s="474"/>
      <c r="E39" s="475"/>
    </row>
    <row r="40" ht="14.5" spans="2:5">
      <c r="B40" s="476" t="s">
        <v>85</v>
      </c>
      <c r="C40" s="477" t="s">
        <v>70</v>
      </c>
      <c r="D40" s="474"/>
      <c r="E40" s="475"/>
    </row>
    <row r="41" spans="2:5">
      <c r="B41" s="478"/>
      <c r="C41" s="473" t="s">
        <v>96</v>
      </c>
      <c r="D41" s="474"/>
      <c r="E41" s="475"/>
    </row>
    <row r="42" spans="2:5">
      <c r="B42" s="478"/>
      <c r="C42" s="473" t="s">
        <v>97</v>
      </c>
      <c r="D42" s="474"/>
      <c r="E42" s="475"/>
    </row>
    <row r="43" ht="13.25" spans="2:5">
      <c r="B43" s="479"/>
      <c r="C43" s="480" t="s">
        <v>98</v>
      </c>
      <c r="D43" s="481"/>
      <c r="E43" s="475"/>
    </row>
  </sheetData>
  <mergeCells count="11">
    <mergeCell ref="B2:J2"/>
    <mergeCell ref="B36:D36"/>
    <mergeCell ref="C37:D37"/>
    <mergeCell ref="C38:D38"/>
    <mergeCell ref="C39:D39"/>
    <mergeCell ref="C40:D40"/>
    <mergeCell ref="C41:D41"/>
    <mergeCell ref="C42:D42"/>
    <mergeCell ref="C43:D43"/>
    <mergeCell ref="B37:B39"/>
    <mergeCell ref="B40:B43"/>
  </mergeCells>
  <conditionalFormatting sqref="B4:B31">
    <cfRule type="expression" dxfId="1" priority="2">
      <formula>$D$12="否"</formula>
    </cfRule>
  </conditionalFormatting>
  <conditionalFormatting sqref="D4:D32">
    <cfRule type="expression" dxfId="1" priority="1">
      <formula>$D$12="否"</formula>
    </cfRule>
  </conditionalFormatting>
  <dataValidations count="3">
    <dataValidation type="list" allowBlank="1" showInputMessage="1" showErrorMessage="1" sqref="B4:B31">
      <formula1>"个人基本资料,个人身份信息,个人生物识别信息,网络身份标识信息,个人健康生理信息,个人教育工作信息,人才人事信息,个人财产信息,个人通信信息,联系人信息,个人上网记录,个人常用设备信息,社会保险信息,特定身份信息,个人位置信息,不满十四周岁未成年人个人信息,用户画像信息,其他个人信息（请在‘补充说明’列进行说明）"</formula1>
    </dataValidation>
    <dataValidation type="list" allowBlank="1" showInputMessage="1" showErrorMessage="1" sqref="D4:D32">
      <formula1>下拉菜单参考!$L$4:$L$6</formula1>
    </dataValidation>
    <dataValidation type="list" allowBlank="1" showInputMessage="1" showErrorMessage="1" sqref="E4:E32">
      <formula1>"是,否"</formula1>
    </dataValidation>
  </dataValidations>
  <pageMargins left="0.7" right="0.7" top="0.75" bottom="0.75" header="0.3" footer="0.3"/>
  <pageSetup paperSize="1" orientation="portrait" horizontalDpi="1200" verticalDpi="12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4"/>
  </sheetPr>
  <dimension ref="B2:O59"/>
  <sheetViews>
    <sheetView showGridLines="0" workbookViewId="0">
      <pane xSplit="7" ySplit="4" topLeftCell="H18" activePane="bottomRight" state="frozen"/>
      <selection/>
      <selection pane="topRight"/>
      <selection pane="bottomLeft"/>
      <selection pane="bottomRight" activeCell="I47" sqref="I47"/>
    </sheetView>
  </sheetViews>
  <sheetFormatPr defaultColWidth="8.78181818181818" defaultRowHeight="16.5"/>
  <cols>
    <col min="1" max="1" width="4.78181818181818" style="263" customWidth="1"/>
    <col min="2" max="2" width="8.21818181818182" style="263" customWidth="1"/>
    <col min="3" max="3" width="6.55454545454545" style="264" customWidth="1"/>
    <col min="4" max="4" width="12.4454545454545" style="265" customWidth="1"/>
    <col min="5" max="5" width="19.7818181818182" style="265" customWidth="1"/>
    <col min="6" max="6" width="23.2181818181818" style="266" customWidth="1"/>
    <col min="7" max="7" width="61.2181818181818" style="267" customWidth="1"/>
    <col min="8" max="8" width="12.4454545454545" style="268" customWidth="1"/>
    <col min="9" max="9" width="47.4454545454545" style="263" customWidth="1"/>
    <col min="10" max="10" width="9.78181818181818" style="269" customWidth="1"/>
    <col min="11" max="11" width="17.5545454545455" style="269" customWidth="1"/>
    <col min="12" max="12" width="19.2181818181818" style="270" customWidth="1"/>
    <col min="13" max="13" width="48.7818181818182" style="270" customWidth="1"/>
    <col min="14" max="15" width="24.5545454545455" style="271" customWidth="1"/>
    <col min="16" max="16384" width="8.78181818181818" style="263"/>
  </cols>
  <sheetData>
    <row r="2" s="261" customFormat="1" customHeight="1" spans="2:15">
      <c r="B2" s="272" t="s">
        <v>99</v>
      </c>
      <c r="C2" s="273" t="s">
        <v>100</v>
      </c>
      <c r="D2" s="274"/>
      <c r="E2" s="275" t="s">
        <v>101</v>
      </c>
      <c r="F2" s="275" t="s">
        <v>8</v>
      </c>
      <c r="G2" s="275" t="s">
        <v>100</v>
      </c>
      <c r="H2" s="276" t="s">
        <v>102</v>
      </c>
      <c r="I2" s="276" t="s">
        <v>103</v>
      </c>
      <c r="J2" s="277" t="s">
        <v>104</v>
      </c>
      <c r="K2" s="277"/>
      <c r="L2" s="278"/>
      <c r="M2" s="279"/>
      <c r="N2" s="279"/>
      <c r="O2" s="280"/>
    </row>
    <row r="3" s="261" customFormat="1" customHeight="1" spans="2:15">
      <c r="B3" s="281"/>
      <c r="C3" s="282"/>
      <c r="D3" s="283"/>
      <c r="E3" s="284"/>
      <c r="F3" s="284"/>
      <c r="G3" s="284"/>
      <c r="H3" s="285"/>
      <c r="I3" s="285"/>
      <c r="J3" s="286" t="s">
        <v>105</v>
      </c>
      <c r="K3" s="286" t="s">
        <v>106</v>
      </c>
      <c r="L3" s="287" t="s">
        <v>107</v>
      </c>
      <c r="M3" s="287" t="s">
        <v>108</v>
      </c>
      <c r="N3" s="287" t="s">
        <v>109</v>
      </c>
      <c r="O3" s="288" t="s">
        <v>110</v>
      </c>
    </row>
    <row r="4" s="261" customFormat="1" ht="17.25" spans="2:15">
      <c r="B4" s="289"/>
      <c r="C4" s="282"/>
      <c r="D4" s="283"/>
      <c r="E4" s="290"/>
      <c r="F4" s="290"/>
      <c r="G4" s="290"/>
      <c r="H4" s="291"/>
      <c r="I4" s="291"/>
      <c r="J4" s="292"/>
      <c r="K4" s="292"/>
      <c r="L4" s="293"/>
      <c r="M4" s="293"/>
      <c r="N4" s="293"/>
      <c r="O4" s="294"/>
    </row>
    <row r="5" s="262" customFormat="1" ht="101.5" spans="2:15">
      <c r="B5" s="295" t="s">
        <v>111</v>
      </c>
      <c r="C5" s="296" t="s">
        <v>112</v>
      </c>
      <c r="D5" s="297"/>
      <c r="E5" s="298" t="s">
        <v>113</v>
      </c>
      <c r="F5" s="298" t="s">
        <v>114</v>
      </c>
      <c r="G5" s="299" t="s">
        <v>115</v>
      </c>
      <c r="H5" s="300" t="s">
        <v>55</v>
      </c>
      <c r="I5" s="301" t="s">
        <v>116</v>
      </c>
      <c r="J5" s="298" t="s">
        <v>63</v>
      </c>
      <c r="K5" s="298" t="str">
        <f t="shared" ref="K5:K23" si="0">IF(OR(H5="",H5="请选择"),"",IF(H5=J5,"有风险","符合"))</f>
        <v>符合</v>
      </c>
      <c r="L5" s="95"/>
      <c r="M5" s="302"/>
      <c r="N5" s="303"/>
      <c r="O5" s="304"/>
    </row>
    <row r="6" s="262" customFormat="1" ht="27" customHeight="1" spans="2:15">
      <c r="B6" s="295"/>
      <c r="C6" s="297"/>
      <c r="D6" s="297"/>
      <c r="E6" s="305" t="s">
        <v>117</v>
      </c>
      <c r="F6" s="305"/>
      <c r="G6" s="306" t="s">
        <v>118</v>
      </c>
      <c r="H6" s="307" t="s">
        <v>55</v>
      </c>
      <c r="I6" s="308" t="s">
        <v>119</v>
      </c>
      <c r="J6" s="305" t="s">
        <v>63</v>
      </c>
      <c r="K6" s="305" t="str">
        <f t="shared" si="0"/>
        <v>符合</v>
      </c>
      <c r="L6" s="309"/>
      <c r="M6" s="310"/>
      <c r="N6" s="311"/>
      <c r="O6" s="312"/>
    </row>
    <row r="7" s="262" customFormat="1" ht="29" spans="2:15">
      <c r="B7" s="295"/>
      <c r="C7" s="313" t="s">
        <v>120</v>
      </c>
      <c r="D7" s="314"/>
      <c r="E7" s="298" t="s">
        <v>121</v>
      </c>
      <c r="F7" s="298" t="s">
        <v>122</v>
      </c>
      <c r="G7" s="299" t="s">
        <v>123</v>
      </c>
      <c r="H7" s="300" t="s">
        <v>124</v>
      </c>
      <c r="I7" s="301" t="s">
        <v>125</v>
      </c>
      <c r="J7" s="298" t="s">
        <v>55</v>
      </c>
      <c r="K7" s="298" t="str">
        <f t="shared" si="0"/>
        <v>符合</v>
      </c>
      <c r="L7" s="95"/>
      <c r="M7" s="302"/>
      <c r="N7" s="303"/>
      <c r="O7" s="304"/>
    </row>
    <row r="8" s="262" customFormat="1" ht="29" spans="2:15">
      <c r="B8" s="295"/>
      <c r="C8" s="315"/>
      <c r="D8" s="314"/>
      <c r="E8" s="298" t="s">
        <v>126</v>
      </c>
      <c r="F8" s="298"/>
      <c r="G8" s="299" t="s">
        <v>127</v>
      </c>
      <c r="H8" s="300" t="s">
        <v>124</v>
      </c>
      <c r="I8" s="301" t="s">
        <v>125</v>
      </c>
      <c r="J8" s="298" t="s">
        <v>55</v>
      </c>
      <c r="K8" s="298" t="str">
        <f t="shared" si="0"/>
        <v>符合</v>
      </c>
      <c r="L8" s="95"/>
      <c r="M8" s="302"/>
      <c r="N8" s="303"/>
      <c r="O8" s="304"/>
    </row>
    <row r="9" s="262" customFormat="1" ht="29" spans="2:15">
      <c r="B9" s="295"/>
      <c r="C9" s="315"/>
      <c r="D9" s="314"/>
      <c r="E9" s="298" t="s">
        <v>128</v>
      </c>
      <c r="F9" s="298"/>
      <c r="G9" s="299" t="s">
        <v>129</v>
      </c>
      <c r="H9" s="300" t="s">
        <v>124</v>
      </c>
      <c r="I9" s="301" t="s">
        <v>125</v>
      </c>
      <c r="J9" s="298" t="s">
        <v>55</v>
      </c>
      <c r="K9" s="298" t="str">
        <f t="shared" si="0"/>
        <v>符合</v>
      </c>
      <c r="L9" s="95"/>
      <c r="M9" s="302"/>
      <c r="N9" s="303"/>
      <c r="O9" s="304"/>
    </row>
    <row r="10" s="262" customFormat="1" ht="29" spans="2:15">
      <c r="B10" s="295"/>
      <c r="C10" s="316"/>
      <c r="D10" s="317"/>
      <c r="E10" s="298" t="s">
        <v>130</v>
      </c>
      <c r="F10" s="298"/>
      <c r="G10" s="318" t="s">
        <v>131</v>
      </c>
      <c r="H10" s="300" t="s">
        <v>124</v>
      </c>
      <c r="I10" s="301" t="s">
        <v>125</v>
      </c>
      <c r="J10" s="298" t="s">
        <v>63</v>
      </c>
      <c r="K10" s="298" t="str">
        <f t="shared" si="0"/>
        <v>符合</v>
      </c>
      <c r="L10" s="95"/>
      <c r="M10" s="302"/>
      <c r="N10" s="303"/>
      <c r="O10" s="304"/>
    </row>
    <row r="11" s="262" customFormat="1" ht="29" spans="2:15">
      <c r="B11" s="295"/>
      <c r="C11" s="319" t="s">
        <v>132</v>
      </c>
      <c r="D11" s="320"/>
      <c r="E11" s="298" t="s">
        <v>133</v>
      </c>
      <c r="F11" s="298" t="s">
        <v>134</v>
      </c>
      <c r="G11" s="299" t="s">
        <v>135</v>
      </c>
      <c r="H11" s="300" t="s">
        <v>124</v>
      </c>
      <c r="I11" s="301" t="s">
        <v>125</v>
      </c>
      <c r="J11" s="298" t="s">
        <v>55</v>
      </c>
      <c r="K11" s="298" t="str">
        <f t="shared" si="0"/>
        <v>符合</v>
      </c>
      <c r="L11" s="95"/>
      <c r="M11" s="302"/>
      <c r="N11" s="303"/>
      <c r="O11" s="304"/>
    </row>
    <row r="12" s="262" customFormat="1" ht="29" spans="2:15">
      <c r="B12" s="295"/>
      <c r="C12" s="316"/>
      <c r="D12" s="317"/>
      <c r="E12" s="298" t="s">
        <v>136</v>
      </c>
      <c r="F12" s="298"/>
      <c r="G12" s="299" t="s">
        <v>137</v>
      </c>
      <c r="H12" s="300" t="s">
        <v>124</v>
      </c>
      <c r="I12" s="301" t="s">
        <v>125</v>
      </c>
      <c r="J12" s="298" t="s">
        <v>55</v>
      </c>
      <c r="K12" s="298" t="str">
        <f t="shared" si="0"/>
        <v>符合</v>
      </c>
      <c r="L12" s="95"/>
      <c r="M12" s="302"/>
      <c r="N12" s="303"/>
      <c r="O12" s="304"/>
    </row>
    <row r="13" s="262" customFormat="1" spans="2:15">
      <c r="B13" s="295"/>
      <c r="C13" s="296" t="s">
        <v>138</v>
      </c>
      <c r="D13" s="297"/>
      <c r="E13" s="298" t="s">
        <v>139</v>
      </c>
      <c r="F13" s="298" t="s">
        <v>140</v>
      </c>
      <c r="G13" s="321" t="s">
        <v>141</v>
      </c>
      <c r="H13" s="300" t="s">
        <v>63</v>
      </c>
      <c r="I13" s="301" t="s">
        <v>142</v>
      </c>
      <c r="J13" s="298" t="s">
        <v>55</v>
      </c>
      <c r="K13" s="298" t="str">
        <f t="shared" si="0"/>
        <v>符合</v>
      </c>
      <c r="L13" s="95"/>
      <c r="M13" s="302"/>
      <c r="N13" s="303"/>
      <c r="O13" s="304"/>
    </row>
    <row r="14" s="262" customFormat="1" ht="17.25" spans="2:15">
      <c r="B14" s="295"/>
      <c r="C14" s="322"/>
      <c r="D14" s="322"/>
      <c r="E14" s="323" t="s">
        <v>143</v>
      </c>
      <c r="F14" s="323"/>
      <c r="G14" s="324" t="s">
        <v>144</v>
      </c>
      <c r="H14" s="325" t="s">
        <v>63</v>
      </c>
      <c r="I14" s="326" t="s">
        <v>145</v>
      </c>
      <c r="J14" s="323" t="s">
        <v>55</v>
      </c>
      <c r="K14" s="323" t="str">
        <f t="shared" si="0"/>
        <v>符合</v>
      </c>
      <c r="L14" s="327"/>
      <c r="M14" s="328"/>
      <c r="N14" s="329"/>
      <c r="O14" s="330"/>
    </row>
    <row r="15" s="262" customFormat="1" ht="29" spans="2:15">
      <c r="B15" s="331" t="s">
        <v>146</v>
      </c>
      <c r="C15" s="332" t="s">
        <v>147</v>
      </c>
      <c r="D15" s="333"/>
      <c r="E15" s="334" t="s">
        <v>148</v>
      </c>
      <c r="F15" s="335" t="s">
        <v>149</v>
      </c>
      <c r="G15" s="336" t="s">
        <v>150</v>
      </c>
      <c r="H15" s="337" t="s">
        <v>55</v>
      </c>
      <c r="I15" s="338" t="s">
        <v>74</v>
      </c>
      <c r="J15" s="335" t="s">
        <v>63</v>
      </c>
      <c r="K15" s="335" t="str">
        <f t="shared" si="0"/>
        <v>符合</v>
      </c>
      <c r="L15" s="339"/>
      <c r="M15" s="340"/>
      <c r="N15" s="341"/>
      <c r="O15" s="342"/>
    </row>
    <row r="16" s="262" customFormat="1" ht="29.75" spans="2:15">
      <c r="B16" s="343"/>
      <c r="C16" s="344"/>
      <c r="D16" s="345"/>
      <c r="E16" s="346" t="s">
        <v>151</v>
      </c>
      <c r="F16" s="346"/>
      <c r="G16" s="347" t="s">
        <v>152</v>
      </c>
      <c r="H16" s="348" t="s">
        <v>124</v>
      </c>
      <c r="I16" s="349" t="s">
        <v>74</v>
      </c>
      <c r="J16" s="346" t="s">
        <v>63</v>
      </c>
      <c r="K16" s="346" t="str">
        <f t="shared" si="0"/>
        <v>符合</v>
      </c>
      <c r="L16" s="350"/>
      <c r="M16" s="351"/>
      <c r="N16" s="352"/>
      <c r="O16" s="353"/>
    </row>
    <row r="17" s="262" customFormat="1" ht="43.5" spans="2:15">
      <c r="B17" s="354" t="s">
        <v>153</v>
      </c>
      <c r="C17" s="355" t="s">
        <v>154</v>
      </c>
      <c r="D17" s="356"/>
      <c r="E17" s="357" t="s">
        <v>155</v>
      </c>
      <c r="F17" s="358" t="s">
        <v>156</v>
      </c>
      <c r="G17" s="359" t="s">
        <v>157</v>
      </c>
      <c r="H17" s="360" t="s">
        <v>63</v>
      </c>
      <c r="I17" s="361" t="s">
        <v>158</v>
      </c>
      <c r="J17" s="358" t="s">
        <v>55</v>
      </c>
      <c r="K17" s="358" t="str">
        <f t="shared" si="0"/>
        <v>符合</v>
      </c>
      <c r="L17" s="362"/>
      <c r="M17" s="363"/>
      <c r="N17" s="364"/>
      <c r="O17" s="365"/>
    </row>
    <row r="18" s="262" customFormat="1" ht="29" spans="2:15">
      <c r="B18" s="354"/>
      <c r="C18" s="319" t="s">
        <v>159</v>
      </c>
      <c r="D18" s="320"/>
      <c r="E18" s="366" t="s">
        <v>160</v>
      </c>
      <c r="F18" s="298" t="s">
        <v>161</v>
      </c>
      <c r="G18" s="299" t="s">
        <v>162</v>
      </c>
      <c r="H18" s="300" t="s">
        <v>55</v>
      </c>
      <c r="I18" s="301" t="s">
        <v>163</v>
      </c>
      <c r="J18" s="298" t="s">
        <v>63</v>
      </c>
      <c r="K18" s="298" t="str">
        <f t="shared" si="0"/>
        <v>符合</v>
      </c>
      <c r="L18" s="95"/>
      <c r="M18" s="302"/>
      <c r="N18" s="303"/>
      <c r="O18" s="304"/>
    </row>
    <row r="19" s="262" customFormat="1" ht="29" spans="2:15">
      <c r="B19" s="354"/>
      <c r="C19" s="315"/>
      <c r="D19" s="314"/>
      <c r="E19" s="298" t="s">
        <v>164</v>
      </c>
      <c r="F19" s="298"/>
      <c r="G19" s="299" t="s">
        <v>165</v>
      </c>
      <c r="H19" s="300" t="s">
        <v>55</v>
      </c>
      <c r="I19" s="301" t="s">
        <v>166</v>
      </c>
      <c r="J19" s="298" t="s">
        <v>63</v>
      </c>
      <c r="K19" s="298" t="str">
        <f t="shared" si="0"/>
        <v>符合</v>
      </c>
      <c r="L19" s="95"/>
      <c r="M19" s="302"/>
      <c r="N19" s="303"/>
      <c r="O19" s="304"/>
    </row>
    <row r="20" s="262" customFormat="1" ht="43.5" spans="2:15">
      <c r="B20" s="354"/>
      <c r="C20" s="315"/>
      <c r="D20" s="314"/>
      <c r="E20" s="366" t="s">
        <v>167</v>
      </c>
      <c r="F20" s="298"/>
      <c r="G20" s="299" t="s">
        <v>168</v>
      </c>
      <c r="H20" s="300" t="s">
        <v>55</v>
      </c>
      <c r="I20" s="301" t="s">
        <v>169</v>
      </c>
      <c r="J20" s="298" t="s">
        <v>63</v>
      </c>
      <c r="K20" s="298" t="str">
        <f t="shared" si="0"/>
        <v>符合</v>
      </c>
      <c r="L20" s="95"/>
      <c r="M20" s="302"/>
      <c r="N20" s="303"/>
      <c r="O20" s="304"/>
    </row>
    <row r="21" s="262" customFormat="1" spans="2:15">
      <c r="B21" s="354"/>
      <c r="C21" s="367" t="s">
        <v>170</v>
      </c>
      <c r="D21" s="368"/>
      <c r="E21" s="369" t="s">
        <v>171</v>
      </c>
      <c r="F21" s="370" t="s">
        <v>172</v>
      </c>
      <c r="G21" s="324" t="s">
        <v>173</v>
      </c>
      <c r="H21" s="307" t="s">
        <v>124</v>
      </c>
      <c r="I21" s="301" t="s">
        <v>174</v>
      </c>
      <c r="J21" s="305" t="s">
        <v>63</v>
      </c>
      <c r="K21" s="298" t="str">
        <f t="shared" si="0"/>
        <v>符合</v>
      </c>
      <c r="L21" s="309"/>
      <c r="M21" s="310"/>
      <c r="N21" s="311"/>
      <c r="O21" s="304"/>
    </row>
    <row r="22" s="262" customFormat="1" ht="44.25" spans="2:15">
      <c r="B22" s="371"/>
      <c r="C22" s="372"/>
      <c r="D22" s="372"/>
      <c r="E22" s="373" t="s">
        <v>175</v>
      </c>
      <c r="F22" s="370"/>
      <c r="G22" s="324" t="s">
        <v>176</v>
      </c>
      <c r="H22" s="348" t="s">
        <v>124</v>
      </c>
      <c r="I22" s="374" t="s">
        <v>174</v>
      </c>
      <c r="J22" s="346" t="s">
        <v>63</v>
      </c>
      <c r="K22" s="323" t="str">
        <f t="shared" si="0"/>
        <v>符合</v>
      </c>
      <c r="L22" s="350"/>
      <c r="M22" s="351"/>
      <c r="N22" s="352"/>
      <c r="O22" s="330"/>
    </row>
    <row r="23" s="262" customFormat="1" ht="72" customHeight="1" spans="2:15">
      <c r="B23" s="354"/>
      <c r="C23" s="375" t="s">
        <v>177</v>
      </c>
      <c r="D23" s="375"/>
      <c r="E23" s="335" t="s">
        <v>178</v>
      </c>
      <c r="F23" s="335" t="s">
        <v>179</v>
      </c>
      <c r="G23" s="336" t="s">
        <v>180</v>
      </c>
      <c r="H23" s="337" t="s">
        <v>124</v>
      </c>
      <c r="I23" s="376" t="s">
        <v>174</v>
      </c>
      <c r="J23" s="335" t="s">
        <v>63</v>
      </c>
      <c r="K23" s="358" t="str">
        <f t="shared" si="0"/>
        <v>符合</v>
      </c>
      <c r="L23" s="339"/>
      <c r="M23" s="340"/>
      <c r="N23" s="341"/>
      <c r="O23" s="365"/>
    </row>
    <row r="24" s="262" customFormat="1" ht="43.5" spans="2:15">
      <c r="B24" s="377" t="s">
        <v>181</v>
      </c>
      <c r="C24" s="313" t="s">
        <v>182</v>
      </c>
      <c r="D24" s="314"/>
      <c r="E24" s="378" t="s">
        <v>183</v>
      </c>
      <c r="F24" s="378" t="s">
        <v>184</v>
      </c>
      <c r="G24" s="379" t="s">
        <v>185</v>
      </c>
      <c r="H24" s="380" t="s">
        <v>124</v>
      </c>
      <c r="I24" s="301" t="s">
        <v>174</v>
      </c>
      <c r="J24" s="378" t="s">
        <v>63</v>
      </c>
      <c r="K24" s="298" t="str">
        <f t="shared" ref="K24:K31" si="1">IF(OR(H24="",H24="请选择"),"",IF(H24=J24,"有风险","符合"))</f>
        <v>符合</v>
      </c>
      <c r="L24" s="381"/>
      <c r="M24" s="382"/>
      <c r="N24" s="383"/>
      <c r="O24" s="384"/>
    </row>
    <row r="25" s="262" customFormat="1" ht="29" spans="2:15">
      <c r="B25" s="385"/>
      <c r="C25" s="315"/>
      <c r="D25" s="314"/>
      <c r="E25" s="298" t="s">
        <v>186</v>
      </c>
      <c r="F25" s="298"/>
      <c r="G25" s="299" t="s">
        <v>187</v>
      </c>
      <c r="H25" s="300" t="s">
        <v>124</v>
      </c>
      <c r="I25" s="301" t="s">
        <v>174</v>
      </c>
      <c r="J25" s="298" t="s">
        <v>63</v>
      </c>
      <c r="K25" s="298" t="str">
        <f t="shared" si="1"/>
        <v>符合</v>
      </c>
      <c r="L25" s="95"/>
      <c r="M25" s="302"/>
      <c r="N25" s="303"/>
      <c r="O25" s="304"/>
    </row>
    <row r="26" s="262" customFormat="1" ht="29" spans="2:15">
      <c r="B26" s="385"/>
      <c r="C26" s="316"/>
      <c r="D26" s="317"/>
      <c r="E26" s="298" t="s">
        <v>188</v>
      </c>
      <c r="F26" s="298"/>
      <c r="G26" s="299" t="s">
        <v>189</v>
      </c>
      <c r="H26" s="380" t="s">
        <v>124</v>
      </c>
      <c r="I26" s="301" t="s">
        <v>174</v>
      </c>
      <c r="J26" s="298" t="s">
        <v>63</v>
      </c>
      <c r="K26" s="298" t="str">
        <f t="shared" si="1"/>
        <v>符合</v>
      </c>
      <c r="L26" s="95"/>
      <c r="M26" s="302"/>
      <c r="N26" s="303"/>
      <c r="O26" s="304"/>
    </row>
    <row r="27" s="262" customFormat="1" ht="29" spans="2:15">
      <c r="B27" s="385"/>
      <c r="C27" s="319" t="s">
        <v>190</v>
      </c>
      <c r="D27" s="320"/>
      <c r="E27" s="298" t="s">
        <v>191</v>
      </c>
      <c r="F27" s="298" t="s">
        <v>192</v>
      </c>
      <c r="G27" s="299" t="s">
        <v>193</v>
      </c>
      <c r="H27" s="380" t="s">
        <v>124</v>
      </c>
      <c r="I27" s="301" t="s">
        <v>174</v>
      </c>
      <c r="J27" s="298" t="s">
        <v>63</v>
      </c>
      <c r="K27" s="298" t="str">
        <f t="shared" si="1"/>
        <v>符合</v>
      </c>
      <c r="L27" s="95"/>
      <c r="M27" s="302"/>
      <c r="N27" s="303"/>
      <c r="O27" s="304"/>
    </row>
    <row r="28" s="262" customFormat="1" spans="2:15">
      <c r="B28" s="385"/>
      <c r="C28" s="316"/>
      <c r="D28" s="317"/>
      <c r="E28" s="298" t="s">
        <v>194</v>
      </c>
      <c r="F28" s="298"/>
      <c r="G28" s="299" t="s">
        <v>195</v>
      </c>
      <c r="H28" s="380" t="s">
        <v>124</v>
      </c>
      <c r="I28" s="301" t="s">
        <v>174</v>
      </c>
      <c r="J28" s="298" t="s">
        <v>63</v>
      </c>
      <c r="K28" s="298" t="str">
        <f t="shared" si="1"/>
        <v>符合</v>
      </c>
      <c r="L28" s="95"/>
      <c r="M28" s="302"/>
      <c r="N28" s="303"/>
      <c r="O28" s="304"/>
    </row>
    <row r="29" s="262" customFormat="1" spans="2:15">
      <c r="B29" s="385"/>
      <c r="C29" s="319" t="s">
        <v>196</v>
      </c>
      <c r="D29" s="320"/>
      <c r="E29" s="298" t="s">
        <v>197</v>
      </c>
      <c r="F29" s="298" t="s">
        <v>198</v>
      </c>
      <c r="G29" s="299" t="s">
        <v>199</v>
      </c>
      <c r="H29" s="380" t="s">
        <v>124</v>
      </c>
      <c r="I29" s="301" t="s">
        <v>174</v>
      </c>
      <c r="J29" s="298" t="s">
        <v>63</v>
      </c>
      <c r="K29" s="298" t="str">
        <f t="shared" si="1"/>
        <v>符合</v>
      </c>
      <c r="L29" s="95"/>
      <c r="M29" s="302"/>
      <c r="N29" s="303"/>
      <c r="O29" s="304"/>
    </row>
    <row r="30" s="262" customFormat="1" ht="29" spans="2:15">
      <c r="B30" s="385"/>
      <c r="C30" s="315"/>
      <c r="D30" s="314"/>
      <c r="E30" s="298" t="s">
        <v>191</v>
      </c>
      <c r="F30" s="298"/>
      <c r="G30" s="299" t="s">
        <v>200</v>
      </c>
      <c r="H30" s="380" t="s">
        <v>124</v>
      </c>
      <c r="I30" s="301" t="s">
        <v>174</v>
      </c>
      <c r="J30" s="298" t="s">
        <v>63</v>
      </c>
      <c r="K30" s="298" t="str">
        <f t="shared" si="1"/>
        <v>符合</v>
      </c>
      <c r="L30" s="95"/>
      <c r="M30" s="302"/>
      <c r="N30" s="303"/>
      <c r="O30" s="304"/>
    </row>
    <row r="31" s="262" customFormat="1" spans="2:15">
      <c r="B31" s="385"/>
      <c r="C31" s="316"/>
      <c r="D31" s="317"/>
      <c r="E31" s="298" t="s">
        <v>201</v>
      </c>
      <c r="F31" s="298"/>
      <c r="G31" s="299" t="s">
        <v>202</v>
      </c>
      <c r="H31" s="380" t="s">
        <v>124</v>
      </c>
      <c r="I31" s="301" t="s">
        <v>174</v>
      </c>
      <c r="J31" s="298" t="s">
        <v>55</v>
      </c>
      <c r="K31" s="298" t="str">
        <f t="shared" si="1"/>
        <v>符合</v>
      </c>
      <c r="L31" s="95"/>
      <c r="M31" s="302"/>
      <c r="N31" s="303"/>
      <c r="O31" s="304"/>
    </row>
    <row r="32" s="262" customFormat="1" ht="87" spans="2:15">
      <c r="B32" s="385"/>
      <c r="C32" s="386" t="s">
        <v>203</v>
      </c>
      <c r="D32" s="387"/>
      <c r="E32" s="369" t="s">
        <v>204</v>
      </c>
      <c r="F32" s="305" t="s">
        <v>205</v>
      </c>
      <c r="G32" s="306" t="s">
        <v>206</v>
      </c>
      <c r="H32" s="380" t="s">
        <v>124</v>
      </c>
      <c r="I32" s="301" t="s">
        <v>174</v>
      </c>
      <c r="J32" s="305" t="s">
        <v>63</v>
      </c>
      <c r="K32" s="305" t="str">
        <f t="shared" ref="K32:K41" si="2">IF(OR(H32="",H32="请选择"),"",IF(H32=J32,"有风险","符合"))</f>
        <v>符合</v>
      </c>
      <c r="L32" s="309"/>
      <c r="M32" s="310"/>
      <c r="N32" s="311"/>
      <c r="O32" s="312"/>
    </row>
    <row r="33" s="262" customFormat="1" ht="72.5" spans="2:15">
      <c r="B33" s="385"/>
      <c r="C33" s="388"/>
      <c r="D33" s="389"/>
      <c r="E33" s="369" t="s">
        <v>207</v>
      </c>
      <c r="F33" s="305"/>
      <c r="G33" s="306" t="s">
        <v>208</v>
      </c>
      <c r="H33" s="380" t="s">
        <v>124</v>
      </c>
      <c r="I33" s="301" t="s">
        <v>174</v>
      </c>
      <c r="J33" s="305" t="s">
        <v>63</v>
      </c>
      <c r="K33" s="305" t="str">
        <f t="shared" si="2"/>
        <v>符合</v>
      </c>
      <c r="L33" s="309"/>
      <c r="M33" s="310"/>
      <c r="N33" s="311"/>
      <c r="O33" s="312"/>
    </row>
    <row r="34" s="262" customFormat="1" ht="116" spans="2:15">
      <c r="B34" s="385"/>
      <c r="C34" s="388"/>
      <c r="D34" s="389"/>
      <c r="E34" s="369" t="s">
        <v>209</v>
      </c>
      <c r="F34" s="305"/>
      <c r="G34" s="306" t="s">
        <v>210</v>
      </c>
      <c r="H34" s="380" t="s">
        <v>124</v>
      </c>
      <c r="I34" s="301" t="s">
        <v>174</v>
      </c>
      <c r="J34" s="305" t="s">
        <v>63</v>
      </c>
      <c r="K34" s="305" t="str">
        <f t="shared" si="2"/>
        <v>符合</v>
      </c>
      <c r="L34" s="309"/>
      <c r="M34" s="310"/>
      <c r="N34" s="311"/>
      <c r="O34" s="312"/>
    </row>
    <row r="35" s="262" customFormat="1" ht="29" spans="2:15">
      <c r="B35" s="385"/>
      <c r="C35" s="388"/>
      <c r="D35" s="389"/>
      <c r="E35" s="369" t="s">
        <v>211</v>
      </c>
      <c r="F35" s="305"/>
      <c r="G35" s="306" t="s">
        <v>212</v>
      </c>
      <c r="H35" s="380" t="s">
        <v>124</v>
      </c>
      <c r="I35" s="301" t="s">
        <v>174</v>
      </c>
      <c r="J35" s="305" t="s">
        <v>63</v>
      </c>
      <c r="K35" s="305" t="str">
        <f t="shared" si="2"/>
        <v>符合</v>
      </c>
      <c r="L35" s="309"/>
      <c r="M35" s="310"/>
      <c r="N35" s="311"/>
      <c r="O35" s="312"/>
    </row>
    <row r="36" s="262" customFormat="1" ht="29.75" spans="2:15">
      <c r="B36" s="385"/>
      <c r="C36" s="390"/>
      <c r="D36" s="391"/>
      <c r="E36" s="369" t="s">
        <v>213</v>
      </c>
      <c r="F36" s="305"/>
      <c r="G36" s="306" t="s">
        <v>214</v>
      </c>
      <c r="H36" s="307" t="s">
        <v>124</v>
      </c>
      <c r="I36" s="392" t="s">
        <v>174</v>
      </c>
      <c r="J36" s="305" t="s">
        <v>63</v>
      </c>
      <c r="K36" s="393" t="str">
        <f t="shared" si="2"/>
        <v>符合</v>
      </c>
      <c r="L36" s="309"/>
      <c r="M36" s="310"/>
      <c r="N36" s="311"/>
      <c r="O36" s="312"/>
    </row>
    <row r="37" s="262" customFormat="1" ht="29" spans="2:15">
      <c r="B37" s="394" t="s">
        <v>215</v>
      </c>
      <c r="C37" s="395" t="s">
        <v>216</v>
      </c>
      <c r="D37" s="396"/>
      <c r="E37" s="358" t="s">
        <v>217</v>
      </c>
      <c r="F37" s="358" t="s">
        <v>218</v>
      </c>
      <c r="G37" s="359" t="s">
        <v>219</v>
      </c>
      <c r="H37" s="360" t="s">
        <v>124</v>
      </c>
      <c r="I37" s="361" t="s">
        <v>174</v>
      </c>
      <c r="J37" s="358" t="s">
        <v>63</v>
      </c>
      <c r="K37" s="378" t="str">
        <f t="shared" si="2"/>
        <v>符合</v>
      </c>
      <c r="L37" s="362"/>
      <c r="M37" s="363"/>
      <c r="N37" s="364"/>
      <c r="O37" s="365"/>
    </row>
    <row r="38" s="262" customFormat="1" ht="29" spans="2:15">
      <c r="B38" s="295"/>
      <c r="C38" s="315"/>
      <c r="D38" s="314"/>
      <c r="E38" s="298" t="s">
        <v>220</v>
      </c>
      <c r="F38" s="298"/>
      <c r="G38" s="299" t="s">
        <v>221</v>
      </c>
      <c r="H38" s="300" t="s">
        <v>124</v>
      </c>
      <c r="I38" s="301" t="s">
        <v>174</v>
      </c>
      <c r="J38" s="298" t="s">
        <v>63</v>
      </c>
      <c r="K38" s="298" t="str">
        <f t="shared" si="2"/>
        <v>符合</v>
      </c>
      <c r="L38" s="95"/>
      <c r="M38" s="302"/>
      <c r="N38" s="303"/>
      <c r="O38" s="304"/>
    </row>
    <row r="39" s="262" customFormat="1" ht="29" spans="2:15">
      <c r="B39" s="295"/>
      <c r="C39" s="315"/>
      <c r="D39" s="314"/>
      <c r="E39" s="298" t="s">
        <v>222</v>
      </c>
      <c r="F39" s="298"/>
      <c r="G39" s="299" t="s">
        <v>223</v>
      </c>
      <c r="H39" s="300" t="s">
        <v>124</v>
      </c>
      <c r="I39" s="301" t="s">
        <v>174</v>
      </c>
      <c r="J39" s="298" t="s">
        <v>63</v>
      </c>
      <c r="K39" s="298" t="str">
        <f t="shared" si="2"/>
        <v>符合</v>
      </c>
      <c r="L39" s="95"/>
      <c r="M39" s="302"/>
      <c r="N39" s="303"/>
      <c r="O39" s="304"/>
    </row>
    <row r="40" s="262" customFormat="1" ht="43.5" spans="2:15">
      <c r="B40" s="295"/>
      <c r="C40" s="315"/>
      <c r="D40" s="314"/>
      <c r="E40" s="298" t="s">
        <v>224</v>
      </c>
      <c r="F40" s="298"/>
      <c r="G40" s="299" t="s">
        <v>225</v>
      </c>
      <c r="H40" s="300" t="s">
        <v>124</v>
      </c>
      <c r="I40" s="301" t="s">
        <v>174</v>
      </c>
      <c r="J40" s="298" t="s">
        <v>63</v>
      </c>
      <c r="K40" s="298" t="str">
        <f t="shared" si="2"/>
        <v>符合</v>
      </c>
      <c r="L40" s="95"/>
      <c r="M40" s="302"/>
      <c r="N40" s="303"/>
      <c r="O40" s="304"/>
    </row>
    <row r="41" s="262" customFormat="1" ht="29" spans="2:15">
      <c r="B41" s="295"/>
      <c r="C41" s="316"/>
      <c r="D41" s="317"/>
      <c r="E41" s="298" t="s">
        <v>226</v>
      </c>
      <c r="F41" s="298"/>
      <c r="G41" s="299" t="s">
        <v>227</v>
      </c>
      <c r="H41" s="300" t="s">
        <v>124</v>
      </c>
      <c r="I41" s="301" t="s">
        <v>174</v>
      </c>
      <c r="J41" s="298" t="s">
        <v>63</v>
      </c>
      <c r="K41" s="298" t="str">
        <f t="shared" si="2"/>
        <v>符合</v>
      </c>
      <c r="L41" s="95"/>
      <c r="M41" s="302"/>
      <c r="N41" s="303"/>
      <c r="O41" s="304"/>
    </row>
    <row r="42" s="262" customFormat="1" ht="43.5" spans="2:15">
      <c r="B42" s="295"/>
      <c r="C42" s="386" t="s">
        <v>228</v>
      </c>
      <c r="D42" s="387"/>
      <c r="E42" s="298" t="s">
        <v>229</v>
      </c>
      <c r="F42" s="298" t="s">
        <v>230</v>
      </c>
      <c r="G42" s="299" t="s">
        <v>231</v>
      </c>
      <c r="H42" s="300" t="s">
        <v>124</v>
      </c>
      <c r="I42" s="301" t="s">
        <v>174</v>
      </c>
      <c r="J42" s="298" t="s">
        <v>63</v>
      </c>
      <c r="K42" s="298" t="str">
        <f t="shared" ref="K42:K48" si="3">IF(OR(H42="",H42="请选择"),"",IF(H42=J42,"有风险","符合"))</f>
        <v>符合</v>
      </c>
      <c r="L42" s="95"/>
      <c r="M42" s="302"/>
      <c r="N42" s="303"/>
      <c r="O42" s="304"/>
    </row>
    <row r="43" s="262" customFormat="1" ht="29.75" spans="2:15">
      <c r="B43" s="397"/>
      <c r="C43" s="398"/>
      <c r="D43" s="399"/>
      <c r="E43" s="400" t="s">
        <v>232</v>
      </c>
      <c r="F43" s="400"/>
      <c r="G43" s="401" t="s">
        <v>233</v>
      </c>
      <c r="H43" s="402" t="s">
        <v>124</v>
      </c>
      <c r="I43" s="403" t="s">
        <v>174</v>
      </c>
      <c r="J43" s="400" t="s">
        <v>63</v>
      </c>
      <c r="K43" s="298" t="str">
        <f t="shared" si="3"/>
        <v>符合</v>
      </c>
      <c r="L43" s="108"/>
      <c r="M43" s="404"/>
      <c r="N43" s="405"/>
      <c r="O43" s="406"/>
    </row>
    <row r="44" s="262" customFormat="1" spans="2:15">
      <c r="B44" s="331" t="s">
        <v>234</v>
      </c>
      <c r="C44" s="395" t="s">
        <v>235</v>
      </c>
      <c r="D44" s="396"/>
      <c r="E44" s="358" t="s">
        <v>236</v>
      </c>
      <c r="F44" s="357" t="s">
        <v>237</v>
      </c>
      <c r="G44" s="359" t="s">
        <v>238</v>
      </c>
      <c r="H44" s="360" t="s">
        <v>55</v>
      </c>
      <c r="I44" s="361" t="s">
        <v>239</v>
      </c>
      <c r="J44" s="358" t="s">
        <v>63</v>
      </c>
      <c r="K44" s="407" t="str">
        <f t="shared" si="3"/>
        <v>符合</v>
      </c>
      <c r="L44" s="362"/>
      <c r="M44" s="363"/>
      <c r="N44" s="364"/>
      <c r="O44" s="365"/>
    </row>
    <row r="45" s="262" customFormat="1" ht="29" spans="2:15">
      <c r="B45" s="385"/>
      <c r="C45" s="315"/>
      <c r="D45" s="314"/>
      <c r="E45" s="366" t="s">
        <v>240</v>
      </c>
      <c r="F45" s="366"/>
      <c r="G45" s="299" t="s">
        <v>241</v>
      </c>
      <c r="H45" s="300" t="s">
        <v>55</v>
      </c>
      <c r="I45" s="408" t="s">
        <v>242</v>
      </c>
      <c r="J45" s="298" t="s">
        <v>63</v>
      </c>
      <c r="K45" s="298" t="str">
        <f t="shared" si="3"/>
        <v>符合</v>
      </c>
      <c r="L45" s="95"/>
      <c r="M45" s="302"/>
      <c r="N45" s="303"/>
      <c r="O45" s="304"/>
    </row>
    <row r="46" s="262" customFormat="1" spans="2:15">
      <c r="B46" s="385"/>
      <c r="C46" s="315"/>
      <c r="D46" s="314"/>
      <c r="E46" s="366" t="s">
        <v>243</v>
      </c>
      <c r="F46" s="366"/>
      <c r="G46" s="299" t="s">
        <v>244</v>
      </c>
      <c r="H46" s="300" t="s">
        <v>55</v>
      </c>
      <c r="I46" s="408" t="s">
        <v>245</v>
      </c>
      <c r="J46" s="298" t="s">
        <v>63</v>
      </c>
      <c r="K46" s="298" t="str">
        <f t="shared" si="3"/>
        <v>符合</v>
      </c>
      <c r="L46" s="95"/>
      <c r="M46" s="302"/>
      <c r="N46" s="303"/>
      <c r="O46" s="304"/>
    </row>
    <row r="47" s="262" customFormat="1" spans="2:15">
      <c r="B47" s="385"/>
      <c r="C47" s="315"/>
      <c r="D47" s="314"/>
      <c r="E47" s="369" t="s">
        <v>246</v>
      </c>
      <c r="F47" s="369"/>
      <c r="G47" s="306" t="s">
        <v>247</v>
      </c>
      <c r="H47" s="307" t="s">
        <v>55</v>
      </c>
      <c r="I47" s="408" t="s">
        <v>248</v>
      </c>
      <c r="J47" s="305" t="s">
        <v>63</v>
      </c>
      <c r="K47" s="305" t="str">
        <f t="shared" si="3"/>
        <v>符合</v>
      </c>
      <c r="L47" s="309"/>
      <c r="M47" s="310"/>
      <c r="N47" s="311"/>
      <c r="O47" s="312"/>
    </row>
    <row r="48" s="262" customFormat="1" ht="17.25" spans="2:15">
      <c r="B48" s="343"/>
      <c r="C48" s="409"/>
      <c r="D48" s="410"/>
      <c r="E48" s="411" t="s">
        <v>249</v>
      </c>
      <c r="F48" s="411"/>
      <c r="G48" s="401" t="s">
        <v>250</v>
      </c>
      <c r="H48" s="402" t="s">
        <v>55</v>
      </c>
      <c r="I48" s="412" t="s">
        <v>251</v>
      </c>
      <c r="J48" s="400" t="s">
        <v>63</v>
      </c>
      <c r="K48" s="413" t="str">
        <f t="shared" si="3"/>
        <v>符合</v>
      </c>
      <c r="L48" s="108"/>
      <c r="M48" s="404"/>
      <c r="N48" s="405"/>
      <c r="O48" s="406"/>
    </row>
    <row r="49" ht="17.25" spans="3:15">
      <c r="C49" s="414"/>
      <c r="D49" s="269"/>
      <c r="E49" s="415"/>
      <c r="F49" s="415"/>
      <c r="G49" s="416"/>
      <c r="H49" s="417"/>
      <c r="I49" s="417"/>
      <c r="J49" s="418"/>
      <c r="K49" s="418"/>
      <c r="L49"/>
      <c r="M49"/>
      <c r="N49"/>
      <c r="O49"/>
    </row>
    <row r="50" ht="42.6" customHeight="1" spans="3:15">
      <c r="D50" s="263"/>
      <c r="E50" s="269"/>
      <c r="H50" s="419"/>
      <c r="I50" s="419"/>
      <c r="J50" s="420"/>
      <c r="K50" s="421" t="s">
        <v>252</v>
      </c>
      <c r="L50" s="422" t="str">
        <f>IF(COUNTIF($K$1:$K$48,"有风险")&gt;(COUNTA($L1:$L$48)-1),"请继续填写风险处置策略","已完成")</f>
        <v>已完成</v>
      </c>
      <c r="M50" s="422" t="str">
        <f>IF(COUNTIF($K$1:$K$48,"有风险")&gt;(COUNTA($M1:$M$48)-1),"请继续填写风险处置方案","已完成")</f>
        <v>已完成</v>
      </c>
      <c r="N50" s="422" t="str">
        <f>IF(COUNTIF($K$1:$K$48,"有风险")&gt;(COUNTA($N1:$N$48)-1),"请继续填写风险处置方案","已完成")</f>
        <v>已完成</v>
      </c>
      <c r="O50" s="423" t="str">
        <f>IF(COUNTIF($K$1:$K$48,"有风险")&gt;(COUNTA($O1:$O$48)-1),"请继续填写风险处置方案","已完成")</f>
        <v>已完成</v>
      </c>
    </row>
    <row r="51" spans="3:15">
      <c r="D51" s="269"/>
      <c r="E51" s="424" t="s">
        <v>253</v>
      </c>
      <c r="F51" s="424"/>
      <c r="H51" s="425"/>
      <c r="I51" s="426"/>
    </row>
    <row r="52" spans="3:15">
      <c r="D52" s="269"/>
      <c r="E52" s="427" t="s">
        <v>254</v>
      </c>
      <c r="F52" s="428">
        <f>44-COUNTIF('个人信息保护影响评估（产品经理）'!H5:H48,"不适用")</f>
        <v>14</v>
      </c>
      <c r="H52" s="425"/>
      <c r="I52" s="426"/>
    </row>
    <row r="53" spans="3:15">
      <c r="D53" s="269"/>
      <c r="E53" s="427" t="s">
        <v>255</v>
      </c>
      <c r="F53" s="428">
        <f>COUNTIF('个人信息保护影响评估（产品经理）'!H5:H48,"不适用")</f>
        <v>30</v>
      </c>
      <c r="H53" s="425"/>
      <c r="I53" s="426"/>
    </row>
    <row r="54" spans="3:15">
      <c r="E54" s="429" t="s">
        <v>256</v>
      </c>
      <c r="F54" s="428">
        <f>COUNTIF('个人信息保护影响评估（产品经理）'!K5:K48,"符合")-F53</f>
        <v>14</v>
      </c>
      <c r="H54" s="425"/>
      <c r="I54" s="426"/>
      <c r="L54" s="430"/>
    </row>
    <row r="55" spans="3:15">
      <c r="E55" s="429" t="s">
        <v>257</v>
      </c>
      <c r="F55" s="428">
        <f>COUNTIF('个人信息保护影响评估（产品经理）'!K5:K48,"有风险")</f>
        <v>0</v>
      </c>
      <c r="H55" s="425"/>
      <c r="I55" s="426"/>
      <c r="L55" s="430"/>
    </row>
    <row r="56" spans="3:15">
      <c r="L56" s="430"/>
    </row>
    <row r="57" spans="3:15">
      <c r="K57" s="267"/>
      <c r="L57" s="430"/>
    </row>
    <row r="58" spans="3:15">
      <c r="L58" s="430"/>
    </row>
    <row r="59" spans="3:15">
      <c r="L59" s="430"/>
    </row>
  </sheetData>
  <sheetProtection formatCells="0" formatColumns="0" formatRows="0" insertRows="0" insertColumns="0" insertHyperlinks="0" deleteColumns="0" deleteRows="0" sort="0" autoFilter="0" pivotTables="0"/>
  <autoFilter xmlns:etc="http://www.wps.cn/officeDocument/2017/etCustomData" ref="C4:O55" etc:filterBottomFollowUsedRange="0">
    <extLst/>
  </autoFilter>
  <mergeCells count="52">
    <mergeCell ref="J2:K2"/>
    <mergeCell ref="L2:O2"/>
    <mergeCell ref="C17:D17"/>
    <mergeCell ref="C23:D23"/>
    <mergeCell ref="E51:F51"/>
    <mergeCell ref="B2:B4"/>
    <mergeCell ref="B5:B14"/>
    <mergeCell ref="B15:B16"/>
    <mergeCell ref="B17:B22"/>
    <mergeCell ref="B24:B36"/>
    <mergeCell ref="B37:B43"/>
    <mergeCell ref="B44:B48"/>
    <mergeCell ref="E2:E4"/>
    <mergeCell ref="F2:F4"/>
    <mergeCell ref="F5:F6"/>
    <mergeCell ref="F7:F10"/>
    <mergeCell ref="F11:F12"/>
    <mergeCell ref="F13:F14"/>
    <mergeCell ref="F15:F16"/>
    <mergeCell ref="F18:F20"/>
    <mergeCell ref="F21:F22"/>
    <mergeCell ref="F24:F26"/>
    <mergeCell ref="F27:F28"/>
    <mergeCell ref="F29:F31"/>
    <mergeCell ref="F32:F36"/>
    <mergeCell ref="F37:F41"/>
    <mergeCell ref="F42:F43"/>
    <mergeCell ref="F44:F48"/>
    <mergeCell ref="G2:G4"/>
    <mergeCell ref="H2:H4"/>
    <mergeCell ref="I2:I4"/>
    <mergeCell ref="J3:J4"/>
    <mergeCell ref="K3:K4"/>
    <mergeCell ref="L3:L4"/>
    <mergeCell ref="M3:M4"/>
    <mergeCell ref="N3:N4"/>
    <mergeCell ref="O3:O4"/>
    <mergeCell ref="C29:D31"/>
    <mergeCell ref="C32:D36"/>
    <mergeCell ref="C37:D41"/>
    <mergeCell ref="C42:D43"/>
    <mergeCell ref="C44:D48"/>
    <mergeCell ref="C15:D16"/>
    <mergeCell ref="C18:D20"/>
    <mergeCell ref="C21:D22"/>
    <mergeCell ref="C24:D26"/>
    <mergeCell ref="C27:D28"/>
    <mergeCell ref="C5:D6"/>
    <mergeCell ref="C2:D4"/>
    <mergeCell ref="C7:D10"/>
    <mergeCell ref="C11:D12"/>
    <mergeCell ref="C13:D14"/>
  </mergeCells>
  <conditionalFormatting sqref="K36">
    <cfRule type="cellIs" dxfId="2" priority="1" operator="equal">
      <formula>"重大"</formula>
    </cfRule>
    <cfRule type="cellIs" dxfId="3" priority="2" operator="equal">
      <formula>"低"</formula>
    </cfRule>
    <cfRule type="cellIs" dxfId="4" priority="3" operator="equal">
      <formula>"中"</formula>
    </cfRule>
    <cfRule type="cellIs" dxfId="5" priority="4" operator="equal">
      <formula>"高"</formula>
    </cfRule>
  </conditionalFormatting>
  <conditionalFormatting sqref="L50:O50">
    <cfRule type="cellIs" dxfId="6" priority="36" operator="equal">
      <formula>"已完成"</formula>
    </cfRule>
  </conditionalFormatting>
  <conditionalFormatting sqref="H5:H48">
    <cfRule type="containsBlanks" dxfId="7" priority="10">
      <formula>LEN(TRIM(H5))=0</formula>
    </cfRule>
    <cfRule type="cellIs" dxfId="8" priority="11" operator="equal">
      <formula>"请选择"</formula>
    </cfRule>
  </conditionalFormatting>
  <conditionalFormatting sqref="H1:H2 H51:H1048576">
    <cfRule type="cellIs" dxfId="8" priority="35" operator="equal">
      <formula>"请选择"</formula>
    </cfRule>
  </conditionalFormatting>
  <conditionalFormatting sqref="K1:K35 K37:K43 K45:K47 K49 K51:K1048576">
    <cfRule type="cellIs" dxfId="9" priority="117" operator="equal">
      <formula>"符合"</formula>
    </cfRule>
    <cfRule type="cellIs" dxfId="10" priority="118" operator="equal">
      <formula>"有风险"</formula>
    </cfRule>
  </conditionalFormatting>
  <conditionalFormatting sqref="L1:O1 L3:O3 L5:O48 L51:O53 M54:O59 L60:O1048576">
    <cfRule type="cellIs" dxfId="2" priority="68" operator="equal">
      <formula>"重大"</formula>
    </cfRule>
    <cfRule type="cellIs" dxfId="3" priority="69" operator="equal">
      <formula>"低"</formula>
    </cfRule>
    <cfRule type="cellIs" dxfId="4" priority="70" operator="equal">
      <formula>"中"</formula>
    </cfRule>
    <cfRule type="cellIs" dxfId="5" priority="71" operator="equal">
      <formula>"高"</formula>
    </cfRule>
  </conditionalFormatting>
  <dataValidations count="2">
    <dataValidation type="list" allowBlank="1" showInputMessage="1" showErrorMessage="1" sqref="H5:H48">
      <formula1>"请选择,是,否,不适用"</formula1>
    </dataValidation>
    <dataValidation type="list" allowBlank="1" showInputMessage="1" showErrorMessage="1" sqref="L5:L48">
      <formula1>"降低风险,转移风险,规避风险,接受风险"</formula1>
    </dataValidation>
  </dataValidations>
  <pageMargins left="0.7" right="0.7" top="0.75" bottom="0.75" header="0.3" footer="0.3"/>
  <pageSetup paperSize="9" orientation="portrait" horizontalDpi="90" verticalDpi="9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7"/>
  </sheetPr>
  <dimension ref="B2:H64"/>
  <sheetViews>
    <sheetView zoomScale="85" zoomScaleNormal="85" topLeftCell="A38" workbookViewId="0">
      <selection activeCell="D67" sqref="D67"/>
    </sheetView>
  </sheetViews>
  <sheetFormatPr defaultColWidth="8.78181818181818" defaultRowHeight="14.5" outlineLevelCol="7"/>
  <cols>
    <col min="1" max="1" width="8.78181818181818" style="64"/>
    <col min="2" max="2" width="33.7818181818182" style="64" customWidth="1"/>
    <col min="3" max="3" width="28.5545454545455" style="64" customWidth="1"/>
    <col min="4" max="4" width="41.2181818181818" style="64" customWidth="1"/>
    <col min="5" max="5" width="20.4454545454545" style="64" customWidth="1"/>
    <col min="6" max="6" width="15" style="64" customWidth="1"/>
    <col min="7" max="7" width="21.7818181818182" style="64" customWidth="1"/>
    <col min="8" max="16384" width="8.78181818181818" style="64"/>
  </cols>
  <sheetData>
    <row r="2" ht="26.55" customHeight="1" spans="2:7">
      <c r="B2" s="112" t="s">
        <v>258</v>
      </c>
      <c r="C2" s="113"/>
      <c r="D2" s="113"/>
      <c r="E2" s="113"/>
      <c r="F2" s="113"/>
      <c r="G2" s="114"/>
    </row>
    <row r="3" ht="21" customHeight="1" spans="2:7">
      <c r="B3" s="115" t="s">
        <v>259</v>
      </c>
      <c r="C3" s="116"/>
      <c r="D3" s="117" t="str">
        <f>'基本信息（产品经理）'!D5</f>
        <v>统一管理平台-风控系统</v>
      </c>
      <c r="E3" s="118"/>
      <c r="F3" s="118"/>
      <c r="G3" s="119"/>
    </row>
    <row r="4" ht="19.5" customHeight="1" spans="2:7">
      <c r="B4" s="120" t="s">
        <v>14</v>
      </c>
      <c r="C4" s="121"/>
      <c r="D4" s="122" t="str">
        <f>'基本信息（产品经理）'!D6</f>
        <v>亲情服务未成年存量筛查适配改造</v>
      </c>
      <c r="E4" s="123"/>
      <c r="F4" s="123"/>
      <c r="G4" s="124"/>
    </row>
    <row r="5" ht="26.55" customHeight="1" spans="2:7">
      <c r="B5" s="120" t="s">
        <v>260</v>
      </c>
      <c r="C5" s="121"/>
      <c r="D5" s="125">
        <f>首页!G32</f>
        <v>0</v>
      </c>
      <c r="E5" s="126"/>
      <c r="F5" s="126"/>
      <c r="G5" s="127"/>
    </row>
    <row r="6" ht="26.55" customHeight="1" spans="2:7">
      <c r="B6" s="128" t="s">
        <v>261</v>
      </c>
      <c r="C6" s="129"/>
      <c r="D6" s="122" t="str">
        <f>G13</f>
        <v>低</v>
      </c>
      <c r="E6" s="123"/>
      <c r="F6" s="123"/>
      <c r="G6" s="124"/>
    </row>
    <row r="7" ht="26.55" customHeight="1" spans="2:7">
      <c r="B7" s="128" t="s">
        <v>262</v>
      </c>
      <c r="C7" s="129"/>
      <c r="D7" s="122" t="str">
        <f>D55</f>
        <v>低</v>
      </c>
      <c r="E7" s="123"/>
      <c r="F7" s="123"/>
      <c r="G7" s="124"/>
    </row>
    <row r="8" ht="26.55" customHeight="1" spans="2:7">
      <c r="B8" s="130" t="s">
        <v>258</v>
      </c>
      <c r="C8" s="131"/>
      <c r="D8" s="132" t="str">
        <f>F55</f>
        <v>低</v>
      </c>
      <c r="E8" s="133"/>
      <c r="F8" s="133"/>
      <c r="G8" s="134"/>
    </row>
    <row r="9" s="1" customFormat="1" ht="32.1" customHeight="1"/>
    <row r="10" spans="2:7">
      <c r="B10" s="135" t="s">
        <v>263</v>
      </c>
      <c r="C10" s="135"/>
      <c r="D10" s="135"/>
      <c r="E10" s="135"/>
      <c r="F10" s="135"/>
      <c r="G10" s="135"/>
    </row>
    <row r="12" ht="16.05" customHeight="1" spans="2:7">
      <c r="B12" s="136" t="s">
        <v>264</v>
      </c>
      <c r="C12" s="137" t="s">
        <v>265</v>
      </c>
      <c r="D12" s="138"/>
      <c r="E12" s="139" t="s">
        <v>266</v>
      </c>
      <c r="F12" s="139" t="s">
        <v>267</v>
      </c>
      <c r="G12" s="140" t="s">
        <v>261</v>
      </c>
    </row>
    <row r="13" ht="58.5" customHeight="1" spans="2:7">
      <c r="B13" s="141" t="s">
        <v>81</v>
      </c>
      <c r="C13" s="142" t="s">
        <v>268</v>
      </c>
      <c r="D13" s="143"/>
      <c r="E13" s="144">
        <v>4</v>
      </c>
      <c r="F13" s="145">
        <v>3</v>
      </c>
      <c r="G13" s="146" t="str">
        <f>IF(SUM(F13:F34)&lt;10,"低",IF(SUM(F13:F34)&lt;14,"中",IF(SUM(F13:F34)&lt;18,"高","极高")))</f>
        <v>低</v>
      </c>
    </row>
    <row r="14" ht="49.5" customHeight="1" spans="2:7">
      <c r="B14" s="147"/>
      <c r="C14" s="148" t="s">
        <v>269</v>
      </c>
      <c r="D14" s="149"/>
      <c r="E14" s="150">
        <v>3</v>
      </c>
      <c r="F14" s="151"/>
      <c r="G14" s="152"/>
    </row>
    <row r="15" ht="56.1" customHeight="1" spans="2:7">
      <c r="B15" s="147"/>
      <c r="C15" s="153" t="s">
        <v>270</v>
      </c>
      <c r="D15" s="149"/>
      <c r="E15" s="150">
        <v>2</v>
      </c>
      <c r="F15" s="151"/>
      <c r="G15" s="152"/>
    </row>
    <row r="16" ht="56.1" customHeight="1" spans="2:7">
      <c r="B16" s="154"/>
      <c r="C16" s="155" t="s">
        <v>271</v>
      </c>
      <c r="D16" s="156"/>
      <c r="E16" s="157">
        <v>1</v>
      </c>
      <c r="F16" s="158"/>
      <c r="G16" s="152"/>
    </row>
    <row r="17" spans="2:7">
      <c r="B17" s="159" t="s">
        <v>272</v>
      </c>
      <c r="C17" s="160" t="s">
        <v>273</v>
      </c>
      <c r="D17" s="161"/>
      <c r="E17" s="162">
        <v>4</v>
      </c>
      <c r="F17" s="145">
        <v>1</v>
      </c>
      <c r="G17" s="152"/>
    </row>
    <row r="18" spans="2:7">
      <c r="B18" s="163"/>
      <c r="C18" s="164" t="s">
        <v>274</v>
      </c>
      <c r="D18" s="165"/>
      <c r="E18" s="166">
        <v>3</v>
      </c>
      <c r="F18" s="151"/>
      <c r="G18" s="152"/>
    </row>
    <row r="19" spans="2:7">
      <c r="B19" s="163"/>
      <c r="C19" s="164" t="s">
        <v>275</v>
      </c>
      <c r="D19" s="165"/>
      <c r="E19" s="166">
        <v>2</v>
      </c>
      <c r="F19" s="151"/>
      <c r="G19" s="152"/>
    </row>
    <row r="20" ht="15.25" spans="2:7">
      <c r="B20" s="167"/>
      <c r="C20" s="168" t="s">
        <v>276</v>
      </c>
      <c r="D20" s="169"/>
      <c r="E20" s="170">
        <v>1</v>
      </c>
      <c r="F20" s="158"/>
      <c r="G20" s="152"/>
    </row>
    <row r="21" ht="39.75" customHeight="1" spans="2:7">
      <c r="B21" s="171" t="s">
        <v>277</v>
      </c>
      <c r="C21" s="172" t="s">
        <v>278</v>
      </c>
      <c r="D21" s="173"/>
      <c r="E21" s="174">
        <v>4</v>
      </c>
      <c r="F21" s="175">
        <v>1</v>
      </c>
      <c r="G21" s="152"/>
    </row>
    <row r="22" ht="39.75" customHeight="1" spans="2:7">
      <c r="B22" s="176"/>
      <c r="C22" s="177" t="s">
        <v>279</v>
      </c>
      <c r="D22" s="178"/>
      <c r="E22" s="179">
        <v>3</v>
      </c>
      <c r="F22" s="180"/>
      <c r="G22" s="152"/>
    </row>
    <row r="23" ht="39.75" customHeight="1" spans="2:7">
      <c r="B23" s="176"/>
      <c r="C23" s="181" t="s">
        <v>280</v>
      </c>
      <c r="D23" s="178"/>
      <c r="E23" s="179">
        <v>2</v>
      </c>
      <c r="F23" s="180"/>
      <c r="G23" s="152"/>
    </row>
    <row r="24" ht="30.75" customHeight="1" spans="2:7">
      <c r="B24" s="182"/>
      <c r="C24" s="183" t="s">
        <v>281</v>
      </c>
      <c r="D24" s="184"/>
      <c r="E24" s="185">
        <v>1</v>
      </c>
      <c r="F24" s="186"/>
      <c r="G24" s="152"/>
    </row>
    <row r="25" ht="38.1" customHeight="1" spans="2:7">
      <c r="B25" s="187" t="s">
        <v>282</v>
      </c>
      <c r="C25" s="160" t="s">
        <v>283</v>
      </c>
      <c r="D25" s="161"/>
      <c r="E25" s="162">
        <v>2</v>
      </c>
      <c r="F25" s="188">
        <v>2</v>
      </c>
      <c r="G25" s="152"/>
    </row>
    <row r="26" ht="45.6" customHeight="1" spans="2:7">
      <c r="B26" s="189"/>
      <c r="C26" s="168" t="s">
        <v>284</v>
      </c>
      <c r="D26" s="169"/>
      <c r="E26" s="170">
        <v>1</v>
      </c>
      <c r="F26" s="190"/>
      <c r="G26" s="152"/>
    </row>
    <row r="27" ht="14.55" customHeight="1" spans="2:7">
      <c r="B27" s="191" t="s">
        <v>285</v>
      </c>
      <c r="C27" s="172" t="s">
        <v>286</v>
      </c>
      <c r="D27" s="173"/>
      <c r="E27" s="192">
        <v>4</v>
      </c>
      <c r="F27" s="145">
        <v>1</v>
      </c>
      <c r="G27" s="152"/>
    </row>
    <row r="28" spans="2:7">
      <c r="B28" s="193"/>
      <c r="C28" s="177" t="s">
        <v>287</v>
      </c>
      <c r="D28" s="178"/>
      <c r="E28" s="194">
        <v>3</v>
      </c>
      <c r="F28" s="151"/>
      <c r="G28" s="152"/>
    </row>
    <row r="29" spans="2:7">
      <c r="B29" s="193"/>
      <c r="C29" s="181" t="s">
        <v>288</v>
      </c>
      <c r="D29" s="178"/>
      <c r="E29" s="194">
        <v>2</v>
      </c>
      <c r="F29" s="151"/>
      <c r="G29" s="152"/>
    </row>
    <row r="30" ht="15.25" spans="2:7">
      <c r="B30" s="195"/>
      <c r="C30" s="183" t="s">
        <v>289</v>
      </c>
      <c r="D30" s="196"/>
      <c r="E30" s="197">
        <v>1</v>
      </c>
      <c r="F30" s="158"/>
      <c r="G30" s="152"/>
    </row>
    <row r="31" ht="73.05" customHeight="1" spans="2:7">
      <c r="B31" s="198" t="s">
        <v>290</v>
      </c>
      <c r="C31" s="199" t="s">
        <v>291</v>
      </c>
      <c r="D31" s="200"/>
      <c r="E31" s="201">
        <v>4</v>
      </c>
      <c r="F31" s="145">
        <v>1</v>
      </c>
      <c r="G31" s="152"/>
    </row>
    <row r="32" ht="46.5" customHeight="1" spans="2:7">
      <c r="B32" s="202"/>
      <c r="C32" s="203" t="s">
        <v>292</v>
      </c>
      <c r="D32" s="204"/>
      <c r="E32" s="205">
        <v>3</v>
      </c>
      <c r="F32" s="151"/>
      <c r="G32" s="152"/>
    </row>
    <row r="33" ht="45" customHeight="1" spans="2:8">
      <c r="B33" s="202"/>
      <c r="C33" s="203" t="s">
        <v>293</v>
      </c>
      <c r="D33" s="204"/>
      <c r="E33" s="205">
        <v>2</v>
      </c>
      <c r="F33" s="151"/>
      <c r="G33" s="152"/>
    </row>
    <row r="34" ht="48" customHeight="1" spans="2:8">
      <c r="B34" s="189"/>
      <c r="C34" s="206" t="s">
        <v>294</v>
      </c>
      <c r="D34" s="207"/>
      <c r="E34" s="208">
        <v>1</v>
      </c>
      <c r="F34" s="158"/>
      <c r="G34" s="209"/>
    </row>
    <row r="35" ht="15.25" spans="2:8">
      <c r="B35" s="83"/>
      <c r="C35" s="83"/>
      <c r="D35" s="83"/>
      <c r="E35" s="83"/>
    </row>
    <row r="36" spans="2:8">
      <c r="B36" s="210" t="s">
        <v>99</v>
      </c>
      <c r="C36" s="211" t="s">
        <v>100</v>
      </c>
      <c r="D36" s="211" t="s">
        <v>295</v>
      </c>
      <c r="E36" s="211" t="s">
        <v>296</v>
      </c>
      <c r="F36" s="212" t="s">
        <v>297</v>
      </c>
      <c r="G36" s="213" t="s">
        <v>262</v>
      </c>
    </row>
    <row r="37" spans="2:8">
      <c r="B37" s="214" t="s">
        <v>298</v>
      </c>
      <c r="C37" s="215" t="s">
        <v>299</v>
      </c>
      <c r="D37" s="216">
        <f>COUNTIF('个人信息保护影响评估（产品经理）'!K5:K6,"有风险")</f>
        <v>0</v>
      </c>
      <c r="E37" s="216" t="str">
        <f t="shared" ref="E37:E46" si="0">IF(D37=0,"满足","不满足")</f>
        <v>满足</v>
      </c>
      <c r="F37" s="217">
        <f>SUM(D37:D52)/44</f>
        <v>0</v>
      </c>
      <c r="G37" s="218" t="str">
        <f>IF(F37&lt;0.25,"低",IF(F37&lt;0.5,"中",IF(F37&lt;0.75,"高","极高")))</f>
        <v>低</v>
      </c>
      <c r="H37" s="219"/>
    </row>
    <row r="38" spans="2:8">
      <c r="B38" s="214"/>
      <c r="C38" s="215" t="s">
        <v>300</v>
      </c>
      <c r="D38" s="216">
        <f>COUNTIF('个人信息保护影响评估（产品经理）'!K7:K10,"有风险")</f>
        <v>0</v>
      </c>
      <c r="E38" s="216" t="str">
        <f t="shared" si="0"/>
        <v>满足</v>
      </c>
      <c r="F38" s="220"/>
      <c r="G38" s="218"/>
      <c r="H38" s="219"/>
    </row>
    <row r="39" spans="2:8">
      <c r="B39" s="214"/>
      <c r="C39" s="215" t="s">
        <v>301</v>
      </c>
      <c r="D39" s="216">
        <f>COUNTIF('个人信息保护影响评估（产品经理）'!K11:K12,"有风险")</f>
        <v>0</v>
      </c>
      <c r="E39" s="216" t="str">
        <f t="shared" si="0"/>
        <v>满足</v>
      </c>
      <c r="F39" s="220"/>
      <c r="G39" s="218"/>
      <c r="H39" s="219"/>
    </row>
    <row r="40" spans="2:8">
      <c r="B40" s="214"/>
      <c r="C40" s="215" t="s">
        <v>302</v>
      </c>
      <c r="D40" s="216">
        <f>COUNTIF('个人信息保护影响评估（产品经理）'!K13:K14,"有风险")</f>
        <v>0</v>
      </c>
      <c r="E40" s="216" t="str">
        <f t="shared" si="0"/>
        <v>满足</v>
      </c>
      <c r="F40" s="220"/>
      <c r="G40" s="218"/>
      <c r="H40" s="219"/>
    </row>
    <row r="41" spans="2:8">
      <c r="B41" s="214" t="s">
        <v>303</v>
      </c>
      <c r="C41" s="215" t="s">
        <v>304</v>
      </c>
      <c r="D41" s="216">
        <f>COUNTIF('个人信息保护影响评估（产品经理）'!K15:K16,"有风险")</f>
        <v>0</v>
      </c>
      <c r="E41" s="216" t="str">
        <f t="shared" si="0"/>
        <v>满足</v>
      </c>
      <c r="F41" s="220"/>
      <c r="G41" s="218"/>
    </row>
    <row r="42" spans="2:8">
      <c r="B42" s="221" t="s">
        <v>305</v>
      </c>
      <c r="C42" s="215" t="s">
        <v>306</v>
      </c>
      <c r="D42" s="216">
        <f>COUNTIF('个人信息保护影响评估（产品经理）'!K17:K17,"有风险")</f>
        <v>0</v>
      </c>
      <c r="E42" s="216" t="str">
        <f t="shared" si="0"/>
        <v>满足</v>
      </c>
      <c r="F42" s="220"/>
      <c r="G42" s="218"/>
    </row>
    <row r="43" spans="2:8">
      <c r="B43" s="222"/>
      <c r="C43" s="215" t="s">
        <v>307</v>
      </c>
      <c r="D43" s="216">
        <f>COUNTIF('个人信息保护影响评估（产品经理）'!K18:K20,"有风险")</f>
        <v>0</v>
      </c>
      <c r="E43" s="216" t="str">
        <f t="shared" si="0"/>
        <v>满足</v>
      </c>
      <c r="F43" s="220"/>
      <c r="G43" s="218"/>
    </row>
    <row r="44" spans="2:8">
      <c r="B44" s="223"/>
      <c r="C44" s="215" t="s">
        <v>308</v>
      </c>
      <c r="D44" s="216">
        <f>COUNTIF('个人信息保护影响评估（产品经理）'!K21:K22,"有风险")</f>
        <v>0</v>
      </c>
      <c r="E44" s="216" t="str">
        <f t="shared" si="0"/>
        <v>满足</v>
      </c>
      <c r="F44" s="220"/>
      <c r="G44" s="218"/>
    </row>
    <row r="45" spans="2:8">
      <c r="B45" s="222" t="s">
        <v>309</v>
      </c>
      <c r="C45" s="215" t="s">
        <v>310</v>
      </c>
      <c r="D45" s="216">
        <f>COUNTIF('个人信息保护影响评估（产品经理）'!K23:K23,"有风险")</f>
        <v>0</v>
      </c>
      <c r="E45" s="216" t="str">
        <f t="shared" si="0"/>
        <v>满足</v>
      </c>
      <c r="F45" s="220"/>
      <c r="G45" s="218"/>
    </row>
    <row r="46" spans="2:8">
      <c r="B46" s="222"/>
      <c r="C46" s="215" t="s">
        <v>311</v>
      </c>
      <c r="D46" s="216">
        <f>COUNTIF('个人信息保护影响评估（产品经理）'!K24:K26,"有风险")</f>
        <v>0</v>
      </c>
      <c r="E46" s="216" t="str">
        <f t="shared" si="0"/>
        <v>满足</v>
      </c>
      <c r="F46" s="220"/>
      <c r="G46" s="218"/>
    </row>
    <row r="47" spans="2:8">
      <c r="B47" s="222"/>
      <c r="C47" s="215" t="s">
        <v>312</v>
      </c>
      <c r="D47" s="216">
        <f>COUNTIF('个人信息保护影响评估（产品经理）'!K27:K28,"有风险")</f>
        <v>0</v>
      </c>
      <c r="E47" s="216" t="str">
        <f t="shared" ref="E47:E52" si="1">IF(D47=0,"满足","不满足")</f>
        <v>满足</v>
      </c>
      <c r="F47" s="220"/>
      <c r="G47" s="218"/>
    </row>
    <row r="48" spans="2:8">
      <c r="B48" s="222"/>
      <c r="C48" s="215" t="s">
        <v>313</v>
      </c>
      <c r="D48" s="216">
        <f>COUNTIF('个人信息保护影响评估（产品经理）'!K29:K31,"有风险")</f>
        <v>0</v>
      </c>
      <c r="E48" s="216" t="str">
        <f t="shared" si="1"/>
        <v>满足</v>
      </c>
      <c r="F48" s="220"/>
      <c r="G48" s="218"/>
    </row>
    <row r="49" spans="2:8">
      <c r="B49" s="223"/>
      <c r="C49" s="215" t="s">
        <v>314</v>
      </c>
      <c r="D49" s="216">
        <f>COUNTIF('个人信息保护影响评估（产品经理）'!K32:K36,"有风险")</f>
        <v>0</v>
      </c>
      <c r="E49" s="216" t="str">
        <f t="shared" si="1"/>
        <v>满足</v>
      </c>
      <c r="F49" s="220"/>
      <c r="G49" s="218"/>
    </row>
    <row r="50" spans="2:8">
      <c r="B50" s="214" t="s">
        <v>315</v>
      </c>
      <c r="C50" s="215" t="s">
        <v>315</v>
      </c>
      <c r="D50" s="216">
        <f>COUNTIF('个人信息保护影响评估（产品经理）'!K37:K41,"有风险")</f>
        <v>0</v>
      </c>
      <c r="E50" s="216" t="str">
        <f t="shared" si="1"/>
        <v>满足</v>
      </c>
      <c r="F50" s="220"/>
      <c r="G50" s="218"/>
    </row>
    <row r="51" spans="2:8">
      <c r="B51" s="214"/>
      <c r="C51" s="215" t="s">
        <v>316</v>
      </c>
      <c r="D51" s="216">
        <f>COUNTIF('个人信息保护影响评估（产品经理）'!K42:K43,"有风险")</f>
        <v>0</v>
      </c>
      <c r="E51" s="216" t="str">
        <f t="shared" si="1"/>
        <v>满足</v>
      </c>
      <c r="F51" s="220"/>
      <c r="G51" s="218"/>
    </row>
    <row r="52" ht="15.25" spans="2:8">
      <c r="B52" s="224" t="s">
        <v>317</v>
      </c>
      <c r="C52" s="225" t="s">
        <v>318</v>
      </c>
      <c r="D52" s="226">
        <f>COUNTIF('个人信息保护影响评估（产品经理）'!K44:K48,"有风险")</f>
        <v>0</v>
      </c>
      <c r="E52" s="226" t="str">
        <f t="shared" si="1"/>
        <v>满足</v>
      </c>
      <c r="F52" s="227"/>
      <c r="G52" s="228"/>
    </row>
    <row r="54" s="82" customFormat="1" ht="20.1" customHeight="1" spans="2:8">
      <c r="B54" s="229" t="s">
        <v>261</v>
      </c>
      <c r="C54" s="230"/>
      <c r="D54" s="231" t="s">
        <v>319</v>
      </c>
      <c r="E54" s="230"/>
      <c r="F54" s="231" t="s">
        <v>258</v>
      </c>
      <c r="G54" s="232"/>
    </row>
    <row r="55" ht="50.1" customHeight="1" spans="2:8">
      <c r="B55" s="233" t="str">
        <f>G13</f>
        <v>低</v>
      </c>
      <c r="C55" s="234"/>
      <c r="D55" s="235" t="str">
        <f>G37</f>
        <v>低</v>
      </c>
      <c r="E55" s="234"/>
      <c r="F55" s="235" t="str">
        <f>VLOOKUP(VLOOKUP(B55,下拉菜单参考!AA4:AB7,2,0)*VLOOKUP(风险等级!D55,下拉菜单参考!AD4:AE7,2,0),下拉菜单参考!AF4:AG12,2,0)</f>
        <v>低</v>
      </c>
      <c r="G55" s="209"/>
    </row>
    <row r="56" ht="15.25" spans="2:8">
      <c r="B56" s="236"/>
      <c r="C56" s="236"/>
      <c r="D56" s="236"/>
      <c r="E56" s="236"/>
      <c r="F56" s="236"/>
      <c r="G56" s="236"/>
    </row>
    <row r="57" ht="15.25" spans="2:8">
      <c r="B57" s="237" t="s">
        <v>320</v>
      </c>
      <c r="C57" s="238"/>
      <c r="D57" s="238"/>
      <c r="E57" s="238"/>
      <c r="F57" s="238"/>
      <c r="G57" s="239"/>
    </row>
    <row r="58" ht="10.05" customHeight="1"/>
    <row r="59" spans="2:8">
      <c r="B59" s="240" t="s">
        <v>321</v>
      </c>
      <c r="C59" s="241"/>
      <c r="D59" s="241" t="s">
        <v>319</v>
      </c>
      <c r="E59" s="241"/>
      <c r="F59" s="241"/>
      <c r="G59" s="242"/>
      <c r="H59" s="243"/>
    </row>
    <row r="60" spans="2:8">
      <c r="B60" s="244"/>
      <c r="C60" s="245"/>
      <c r="D60" s="246" t="s">
        <v>322</v>
      </c>
      <c r="E60" s="247" t="s">
        <v>323</v>
      </c>
      <c r="F60" s="248" t="s">
        <v>324</v>
      </c>
      <c r="G60" s="249" t="s">
        <v>325</v>
      </c>
      <c r="H60" s="243"/>
    </row>
    <row r="61" spans="2:8">
      <c r="B61" s="244" t="s">
        <v>261</v>
      </c>
      <c r="C61" s="250" t="s">
        <v>325</v>
      </c>
      <c r="D61" s="251" t="s">
        <v>323</v>
      </c>
      <c r="E61" s="252" t="s">
        <v>324</v>
      </c>
      <c r="F61" s="253" t="s">
        <v>325</v>
      </c>
      <c r="G61" s="253" t="s">
        <v>325</v>
      </c>
      <c r="H61" s="243"/>
    </row>
    <row r="62" spans="2:8">
      <c r="B62" s="244"/>
      <c r="C62" s="248" t="s">
        <v>324</v>
      </c>
      <c r="D62" s="251" t="s">
        <v>323</v>
      </c>
      <c r="E62" s="251" t="s">
        <v>323</v>
      </c>
      <c r="F62" s="252" t="s">
        <v>324</v>
      </c>
      <c r="G62" s="253" t="s">
        <v>325</v>
      </c>
      <c r="H62" s="243"/>
    </row>
    <row r="63" spans="2:8">
      <c r="B63" s="244"/>
      <c r="C63" s="247" t="s">
        <v>323</v>
      </c>
      <c r="D63" s="254" t="s">
        <v>322</v>
      </c>
      <c r="E63" s="251" t="s">
        <v>323</v>
      </c>
      <c r="F63" s="251" t="s">
        <v>323</v>
      </c>
      <c r="G63" s="255" t="s">
        <v>324</v>
      </c>
      <c r="H63" s="243"/>
    </row>
    <row r="64" ht="15.25" spans="2:8">
      <c r="B64" s="256"/>
      <c r="C64" s="257" t="s">
        <v>322</v>
      </c>
      <c r="D64" s="258" t="s">
        <v>322</v>
      </c>
      <c r="E64" s="258" t="s">
        <v>322</v>
      </c>
      <c r="F64" s="259" t="s">
        <v>323</v>
      </c>
      <c r="G64" s="260" t="s">
        <v>323</v>
      </c>
      <c r="H64" s="243"/>
    </row>
  </sheetData>
  <mergeCells count="68">
    <mergeCell ref="B2:G2"/>
    <mergeCell ref="B3:C3"/>
    <mergeCell ref="D3:G3"/>
    <mergeCell ref="B4:C4"/>
    <mergeCell ref="D4:G4"/>
    <mergeCell ref="B5:C5"/>
    <mergeCell ref="D5:G5"/>
    <mergeCell ref="B6:C6"/>
    <mergeCell ref="D6:G6"/>
    <mergeCell ref="B7:C7"/>
    <mergeCell ref="D7:G7"/>
    <mergeCell ref="B8:C8"/>
    <mergeCell ref="D8:G8"/>
    <mergeCell ref="B10:G10"/>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34:D34"/>
    <mergeCell ref="B35:E35"/>
    <mergeCell ref="B54:C54"/>
    <mergeCell ref="D54:E54"/>
    <mergeCell ref="F54:G54"/>
    <mergeCell ref="B55:C55"/>
    <mergeCell ref="D55:E55"/>
    <mergeCell ref="F55:G55"/>
    <mergeCell ref="B57:G57"/>
    <mergeCell ref="D59:G59"/>
    <mergeCell ref="B13:B16"/>
    <mergeCell ref="B17:B20"/>
    <mergeCell ref="B21:B24"/>
    <mergeCell ref="B25:B26"/>
    <mergeCell ref="B27:B30"/>
    <mergeCell ref="B31:B34"/>
    <mergeCell ref="B37:B40"/>
    <mergeCell ref="B42:B44"/>
    <mergeCell ref="B45:B49"/>
    <mergeCell ref="B50:B51"/>
    <mergeCell ref="B61:B64"/>
    <mergeCell ref="F13:F16"/>
    <mergeCell ref="F17:F20"/>
    <mergeCell ref="F21:F24"/>
    <mergeCell ref="F25:F26"/>
    <mergeCell ref="F27:F30"/>
    <mergeCell ref="F31:F34"/>
    <mergeCell ref="F37:F52"/>
    <mergeCell ref="G13:G34"/>
    <mergeCell ref="G37:G52"/>
    <mergeCell ref="H37:H40"/>
    <mergeCell ref="B59:C60"/>
  </mergeCells>
  <conditionalFormatting sqref="D8">
    <cfRule type="cellIs" dxfId="11" priority="2" operator="equal">
      <formula>"低"</formula>
    </cfRule>
    <cfRule type="cellIs" dxfId="12" priority="3" operator="equal">
      <formula>"中"</formula>
    </cfRule>
    <cfRule type="cellIs" dxfId="13" priority="4" operator="equal">
      <formula>"高"</formula>
    </cfRule>
    <cfRule type="cellIs" dxfId="14" priority="5" operator="equal">
      <formula>"极高"</formula>
    </cfRule>
  </conditionalFormatting>
  <conditionalFormatting sqref="F55:G55">
    <cfRule type="cellIs" dxfId="11" priority="1" operator="equal">
      <formula>"低"</formula>
    </cfRule>
    <cfRule type="cellIs" dxfId="12" priority="9" operator="equal">
      <formula>"中"</formula>
    </cfRule>
    <cfRule type="cellIs" dxfId="13" priority="11" operator="equal">
      <formula>"高"</formula>
    </cfRule>
    <cfRule type="cellIs" dxfId="14" priority="12" operator="equal">
      <formula>"极高"</formula>
    </cfRule>
  </conditionalFormatting>
  <dataValidations count="2">
    <dataValidation type="list" allowBlank="1" showInputMessage="1" showErrorMessage="1" sqref="F13:F21 F27:F34">
      <formula1>"4,3,2,1"</formula1>
    </dataValidation>
    <dataValidation type="list" allowBlank="1" showInputMessage="1" showErrorMessage="1" sqref="F25:F26">
      <formula1>"2,1"</formula1>
    </dataValidation>
  </dataValidations>
  <pageMargins left="0.7" right="0.7" top="0.75" bottom="0.75" header="0.3" footer="0.3"/>
  <pageSetup paperSize="1" orientation="portrait" horizontalDpi="1200" verticalDpi="12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sheetPr>
  <dimension ref="B3:K22"/>
  <sheetViews>
    <sheetView zoomScale="55" zoomScaleNormal="55" workbookViewId="0">
      <selection activeCell="N6" sqref="N6"/>
    </sheetView>
  </sheetViews>
  <sheetFormatPr defaultColWidth="8.78181818181818" defaultRowHeight="14.5"/>
  <cols>
    <col min="1" max="1" width="8.78181818181818" style="64"/>
    <col min="2" max="2" width="12.2181818181818" style="65" customWidth="1"/>
    <col min="3" max="3" width="41.5545454545455" style="65" customWidth="1"/>
    <col min="4" max="4" width="8.78181818181818" style="64"/>
    <col min="5" max="5" width="52.5545454545455" style="65" customWidth="1"/>
    <col min="6" max="7" width="11.7818181818182" style="64" customWidth="1"/>
    <col min="8" max="8" width="12" style="64" customWidth="1"/>
    <col min="9" max="9" width="61.2181818181818" style="65" customWidth="1"/>
    <col min="10" max="10" width="19.5545454545455" style="64" customWidth="1"/>
    <col min="11" max="11" width="26.5545454545455" style="64" customWidth="1"/>
    <col min="12" max="16384" width="8.78181818181818" style="64"/>
  </cols>
  <sheetData>
    <row r="3" ht="32.55" customHeight="1" spans="2:11">
      <c r="B3" s="66" t="s">
        <v>4</v>
      </c>
      <c r="C3" s="67"/>
      <c r="D3" s="68"/>
      <c r="E3" s="69"/>
      <c r="F3" s="69"/>
      <c r="G3" s="69"/>
      <c r="H3" s="69"/>
      <c r="I3" s="69"/>
      <c r="J3" s="69"/>
      <c r="K3" s="70"/>
    </row>
    <row r="4" ht="31.05" customHeight="1" spans="2:11">
      <c r="B4" s="71" t="s">
        <v>326</v>
      </c>
      <c r="C4" s="72"/>
      <c r="D4" s="73"/>
      <c r="E4" s="74"/>
      <c r="F4" s="74"/>
      <c r="G4" s="74"/>
      <c r="H4" s="74"/>
      <c r="I4" s="74"/>
      <c r="J4" s="74"/>
      <c r="K4" s="75"/>
    </row>
    <row r="5" ht="149.55" customHeight="1" spans="2:11">
      <c r="B5" s="76" t="s">
        <v>327</v>
      </c>
      <c r="C5" s="77"/>
      <c r="D5" s="78"/>
      <c r="E5" s="79"/>
      <c r="F5" s="79"/>
      <c r="G5" s="79"/>
      <c r="H5" s="79"/>
      <c r="I5" s="79"/>
      <c r="J5" s="79"/>
      <c r="K5" s="80"/>
    </row>
    <row r="6" ht="20.55" customHeight="1" spans="2:11">
      <c r="B6" s="81"/>
      <c r="C6" s="82"/>
      <c r="D6" s="83"/>
      <c r="E6" s="83"/>
    </row>
    <row r="7" ht="27.6" customHeight="1" spans="2:11">
      <c r="B7" s="84" t="s">
        <v>328</v>
      </c>
      <c r="C7" s="85"/>
      <c r="D7" s="85"/>
      <c r="E7" s="85"/>
      <c r="F7" s="85"/>
      <c r="G7" s="85"/>
      <c r="H7" s="85"/>
      <c r="I7" s="85"/>
      <c r="J7" s="85"/>
      <c r="K7" s="86"/>
    </row>
    <row r="8" ht="27.6" customHeight="1" spans="2:11">
      <c r="B8" s="87" t="s">
        <v>329</v>
      </c>
      <c r="C8" s="88" t="s">
        <v>100</v>
      </c>
      <c r="D8" s="88" t="s">
        <v>102</v>
      </c>
      <c r="E8" s="88" t="s">
        <v>103</v>
      </c>
      <c r="F8" s="88" t="s">
        <v>330</v>
      </c>
      <c r="G8" s="88" t="s">
        <v>331</v>
      </c>
      <c r="H8" s="88" t="s">
        <v>107</v>
      </c>
      <c r="I8" s="88" t="s">
        <v>108</v>
      </c>
      <c r="J8" s="88" t="s">
        <v>109</v>
      </c>
      <c r="K8" s="89" t="s">
        <v>110</v>
      </c>
    </row>
    <row r="9" spans="2:11">
      <c r="B9" s="90"/>
      <c r="C9" s="91"/>
      <c r="D9" s="92"/>
      <c r="E9" s="93"/>
      <c r="F9" s="94"/>
      <c r="G9" s="94"/>
      <c r="H9" s="95"/>
      <c r="I9" s="96"/>
      <c r="J9" s="97"/>
      <c r="K9" s="98"/>
    </row>
    <row r="10" spans="2:11">
      <c r="B10" s="90"/>
      <c r="C10" s="91"/>
      <c r="D10" s="92"/>
      <c r="E10" s="93"/>
      <c r="F10" s="94"/>
      <c r="G10" s="94"/>
      <c r="H10" s="99"/>
      <c r="I10" s="96"/>
      <c r="J10" s="97"/>
      <c r="K10" s="98"/>
    </row>
    <row r="11" spans="2:11">
      <c r="B11" s="90"/>
      <c r="C11" s="91"/>
      <c r="D11" s="92"/>
      <c r="E11" s="100"/>
      <c r="F11" s="94"/>
      <c r="G11" s="94"/>
      <c r="H11" s="95"/>
      <c r="I11" s="96"/>
      <c r="J11" s="97"/>
      <c r="K11" s="98"/>
    </row>
    <row r="12" spans="2:11">
      <c r="B12" s="90"/>
      <c r="C12" s="91"/>
      <c r="D12" s="92"/>
      <c r="E12" s="93"/>
      <c r="F12" s="94"/>
      <c r="G12" s="94"/>
      <c r="H12" s="95"/>
      <c r="I12" s="96"/>
      <c r="J12" s="97"/>
      <c r="K12" s="98"/>
    </row>
    <row r="13" spans="2:11">
      <c r="B13" s="90"/>
      <c r="C13" s="91"/>
      <c r="D13" s="92"/>
      <c r="E13" s="93"/>
      <c r="F13" s="94"/>
      <c r="G13" s="94"/>
      <c r="H13" s="95"/>
      <c r="I13" s="96"/>
      <c r="J13" s="97"/>
      <c r="K13" s="98"/>
    </row>
    <row r="14" spans="2:11">
      <c r="B14" s="90"/>
      <c r="C14" s="91"/>
      <c r="D14" s="92"/>
      <c r="E14" s="93"/>
      <c r="F14" s="94"/>
      <c r="G14" s="94"/>
      <c r="H14" s="95"/>
      <c r="I14" s="96"/>
      <c r="J14" s="97"/>
      <c r="K14" s="98"/>
    </row>
    <row r="15" spans="2:11">
      <c r="B15" s="90"/>
      <c r="C15" s="91"/>
      <c r="D15" s="92"/>
      <c r="E15" s="100"/>
      <c r="F15" s="94"/>
      <c r="G15" s="94"/>
      <c r="H15" s="99"/>
      <c r="I15" s="96"/>
      <c r="J15" s="97"/>
      <c r="K15" s="98"/>
    </row>
    <row r="16" spans="2:11">
      <c r="B16" s="90"/>
      <c r="C16" s="91"/>
      <c r="D16" s="92"/>
      <c r="E16" s="100"/>
      <c r="F16" s="94"/>
      <c r="G16" s="94"/>
      <c r="H16" s="95"/>
      <c r="I16" s="96"/>
      <c r="J16" s="97"/>
      <c r="K16" s="98"/>
    </row>
    <row r="17" spans="2:11">
      <c r="B17" s="90"/>
      <c r="C17" s="91"/>
      <c r="D17" s="92"/>
      <c r="E17" s="100"/>
      <c r="F17" s="94"/>
      <c r="G17" s="94"/>
      <c r="H17" s="95"/>
      <c r="I17" s="96"/>
      <c r="J17" s="97"/>
      <c r="K17" s="98"/>
    </row>
    <row r="18" spans="2:11">
      <c r="B18" s="90"/>
      <c r="C18" s="91"/>
      <c r="D18" s="92"/>
      <c r="E18" s="100"/>
      <c r="F18" s="94"/>
      <c r="G18" s="94"/>
      <c r="H18" s="95"/>
      <c r="I18" s="96"/>
      <c r="J18" s="101"/>
      <c r="K18" s="102"/>
    </row>
    <row r="19" spans="2:11">
      <c r="B19" s="90"/>
      <c r="C19" s="91"/>
      <c r="D19" s="92"/>
      <c r="E19" s="100"/>
      <c r="F19" s="94"/>
      <c r="G19" s="94"/>
      <c r="H19" s="95"/>
      <c r="I19" s="96"/>
      <c r="J19" s="101"/>
      <c r="K19" s="102"/>
    </row>
    <row r="20" spans="2:11">
      <c r="B20" s="90"/>
      <c r="C20" s="91"/>
      <c r="D20" s="92"/>
      <c r="E20" s="100"/>
      <c r="F20" s="94"/>
      <c r="G20" s="94"/>
      <c r="H20" s="95"/>
      <c r="I20" s="96"/>
      <c r="J20" s="101"/>
      <c r="K20" s="102"/>
    </row>
    <row r="21" spans="2:11">
      <c r="B21" s="90"/>
      <c r="C21" s="91"/>
      <c r="D21" s="92"/>
      <c r="E21" s="100"/>
      <c r="F21" s="94"/>
      <c r="G21" s="94"/>
      <c r="H21" s="95"/>
      <c r="I21" s="96"/>
      <c r="J21" s="101"/>
      <c r="K21" s="102"/>
    </row>
    <row r="22" ht="31.05" customHeight="1" spans="2:11">
      <c r="B22" s="103"/>
      <c r="C22" s="104"/>
      <c r="D22" s="105"/>
      <c r="E22" s="106"/>
      <c r="F22" s="107"/>
      <c r="G22" s="107"/>
      <c r="H22" s="108"/>
      <c r="I22" s="109"/>
      <c r="J22" s="110"/>
      <c r="K22" s="111"/>
    </row>
  </sheetData>
  <mergeCells count="7">
    <mergeCell ref="B3:C3"/>
    <mergeCell ref="D3:K3"/>
    <mergeCell ref="B4:C4"/>
    <mergeCell ref="D4:K4"/>
    <mergeCell ref="B5:C5"/>
    <mergeCell ref="D5:K5"/>
    <mergeCell ref="B7:K7"/>
  </mergeCells>
  <conditionalFormatting sqref="D4">
    <cfRule type="cellIs" dxfId="14" priority="1" operator="equal">
      <formula>"不通过"</formula>
    </cfRule>
    <cfRule type="cellIs" dxfId="15" priority="2" operator="equal">
      <formula>"通过"</formula>
    </cfRule>
  </conditionalFormatting>
  <conditionalFormatting sqref="D9:D22">
    <cfRule type="containsBlanks" dxfId="7" priority="7">
      <formula>LEN(TRIM(D9))=0</formula>
    </cfRule>
    <cfRule type="cellIs" dxfId="8" priority="8" operator="equal">
      <formula>"请选择"</formula>
    </cfRule>
  </conditionalFormatting>
  <conditionalFormatting sqref="G9:G22">
    <cfRule type="cellIs" dxfId="9" priority="27" operator="equal">
      <formula>"符合"</formula>
    </cfRule>
    <cfRule type="cellIs" dxfId="10" priority="28" operator="equal">
      <formula>"有风险"</formula>
    </cfRule>
  </conditionalFormatting>
  <conditionalFormatting sqref="H9:I22">
    <cfRule type="cellIs" dxfId="2" priority="23" operator="equal">
      <formula>"重大"</formula>
    </cfRule>
    <cfRule type="cellIs" dxfId="3" priority="24" operator="equal">
      <formula>"低"</formula>
    </cfRule>
    <cfRule type="cellIs" dxfId="4" priority="25" operator="equal">
      <formula>"中"</formula>
    </cfRule>
    <cfRule type="cellIs" dxfId="5" priority="26" operator="equal">
      <formula>"高"</formula>
    </cfRule>
  </conditionalFormatting>
  <conditionalFormatting sqref="J9:K17">
    <cfRule type="cellIs" dxfId="2" priority="3" operator="equal">
      <formula>"重大"</formula>
    </cfRule>
    <cfRule type="cellIs" dxfId="3" priority="4" operator="equal">
      <formula>"低"</formula>
    </cfRule>
    <cfRule type="cellIs" dxfId="4" priority="5" operator="equal">
      <formula>"中"</formula>
    </cfRule>
    <cfRule type="cellIs" dxfId="5" priority="6" operator="equal">
      <formula>"高"</formula>
    </cfRule>
  </conditionalFormatting>
  <dataValidations count="3">
    <dataValidation type="list" allowBlank="1" showInputMessage="1" showErrorMessage="1" sqref="D4">
      <formula1>"通过,不通过"</formula1>
    </dataValidation>
    <dataValidation type="list" allowBlank="1" showInputMessage="1" showErrorMessage="1" sqref="D9:D22">
      <formula1>"请选择,是,否,不适用"</formula1>
    </dataValidation>
    <dataValidation type="list" allowBlank="1" showInputMessage="1" showErrorMessage="1" sqref="H9:H22">
      <formula1>"降低风险,转移风险,规避风险,接受风险"</formula1>
    </dataValidation>
  </dataValidations>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0" tint="-0.149937437055574"/>
    <pageSetUpPr fitToPage="1"/>
  </sheetPr>
  <dimension ref="B1:C49"/>
  <sheetViews>
    <sheetView topLeftCell="A21" workbookViewId="0">
      <selection activeCell="D15" sqref="D15"/>
    </sheetView>
  </sheetViews>
  <sheetFormatPr defaultColWidth="9" defaultRowHeight="13" outlineLevelCol="2"/>
  <cols>
    <col min="1" max="1" width="2" style="43" customWidth="1"/>
    <col min="2" max="2" width="19.2181818181818" style="43" customWidth="1"/>
    <col min="3" max="3" width="80.2181818181818" style="43" customWidth="1"/>
    <col min="4" max="4" width="9" style="43"/>
    <col min="5" max="5" width="18.2181818181818" style="43" customWidth="1"/>
    <col min="6" max="6" width="67.5545454545454" style="43" customWidth="1"/>
    <col min="7" max="16384" width="9" style="43"/>
  </cols>
  <sheetData>
    <row r="1" ht="13.25"/>
    <row r="2" ht="25.35" customHeight="1" spans="2:3">
      <c r="B2" s="44" t="s">
        <v>332</v>
      </c>
      <c r="C2" s="45"/>
    </row>
    <row r="3" ht="102.6" customHeight="1" spans="2:3">
      <c r="B3" s="46" t="s">
        <v>333</v>
      </c>
      <c r="C3" s="47"/>
    </row>
    <row r="4" ht="22.8" customHeight="1" spans="2:3">
      <c r="B4" s="48" t="s">
        <v>334</v>
      </c>
      <c r="C4" s="49"/>
    </row>
    <row r="5" ht="26.1" customHeight="1" spans="2:3">
      <c r="B5" s="50" t="s">
        <v>42</v>
      </c>
      <c r="C5" s="51" t="s">
        <v>335</v>
      </c>
    </row>
    <row r="6" ht="26.1" customHeight="1" spans="2:3">
      <c r="B6" s="50" t="s">
        <v>43</v>
      </c>
      <c r="C6" s="51" t="s">
        <v>336</v>
      </c>
    </row>
    <row r="7" ht="26.1" customHeight="1" spans="2:3">
      <c r="B7" s="50" t="s">
        <v>40</v>
      </c>
      <c r="C7" s="51" t="s">
        <v>337</v>
      </c>
    </row>
    <row r="8" ht="26.1" customHeight="1" spans="2:3">
      <c r="B8" s="50" t="s">
        <v>338</v>
      </c>
      <c r="C8" s="51" t="s">
        <v>339</v>
      </c>
    </row>
    <row r="9" ht="44.1" customHeight="1" spans="2:3">
      <c r="B9" s="50" t="s">
        <v>340</v>
      </c>
      <c r="C9" s="52" t="s">
        <v>341</v>
      </c>
    </row>
    <row r="10" ht="39.6" customHeight="1" spans="2:3">
      <c r="B10" s="50" t="s">
        <v>342</v>
      </c>
      <c r="C10" s="51" t="s">
        <v>343</v>
      </c>
    </row>
    <row r="11" ht="39.6" customHeight="1" spans="2:3">
      <c r="B11" s="50" t="s">
        <v>344</v>
      </c>
      <c r="C11" s="53" t="s">
        <v>345</v>
      </c>
    </row>
    <row r="12" ht="39" customHeight="1" spans="2:3">
      <c r="B12" s="50" t="s">
        <v>346</v>
      </c>
      <c r="C12" s="51" t="s">
        <v>347</v>
      </c>
    </row>
    <row r="13" ht="39" customHeight="1" spans="2:3">
      <c r="B13" s="50" t="s">
        <v>348</v>
      </c>
      <c r="C13" s="51" t="s">
        <v>349</v>
      </c>
    </row>
    <row r="14" ht="23.55" customHeight="1" spans="2:3">
      <c r="B14" s="50" t="s">
        <v>350</v>
      </c>
      <c r="C14" s="51" t="s">
        <v>351</v>
      </c>
    </row>
    <row r="15" ht="30.75" customHeight="1" spans="2:3">
      <c r="B15" s="50" t="s">
        <v>352</v>
      </c>
      <c r="C15" s="51" t="s">
        <v>353</v>
      </c>
    </row>
    <row r="16" ht="40.5" customHeight="1" spans="2:3">
      <c r="B16" s="50" t="s">
        <v>354</v>
      </c>
      <c r="C16" s="51" t="s">
        <v>355</v>
      </c>
    </row>
    <row r="17" ht="40.5" customHeight="1" spans="2:3">
      <c r="B17" s="50" t="s">
        <v>356</v>
      </c>
      <c r="C17" s="53" t="s">
        <v>357</v>
      </c>
    </row>
    <row r="18" ht="40.5" customHeight="1" spans="2:3">
      <c r="B18" s="50" t="s">
        <v>358</v>
      </c>
      <c r="C18" s="53" t="s">
        <v>359</v>
      </c>
    </row>
    <row r="19" ht="23.55" customHeight="1" spans="2:3">
      <c r="B19" s="50" t="s">
        <v>44</v>
      </c>
      <c r="C19" s="51" t="s">
        <v>360</v>
      </c>
    </row>
    <row r="20" ht="23.55" customHeight="1" spans="2:3">
      <c r="B20" s="50" t="s">
        <v>361</v>
      </c>
      <c r="C20" s="53" t="s">
        <v>362</v>
      </c>
    </row>
    <row r="21" ht="27.75" customHeight="1" spans="2:3">
      <c r="B21" s="54" t="s">
        <v>363</v>
      </c>
      <c r="C21" s="55" t="s">
        <v>364</v>
      </c>
    </row>
    <row r="22" ht="23.55" customHeight="1" spans="2:3">
      <c r="B22" s="50" t="s">
        <v>365</v>
      </c>
      <c r="C22" s="51" t="s">
        <v>366</v>
      </c>
    </row>
    <row r="23" spans="2:3">
      <c r="B23" s="56"/>
      <c r="C23" s="57"/>
    </row>
    <row r="24" ht="34.8" customHeight="1" spans="2:3">
      <c r="B24" s="58" t="s">
        <v>367</v>
      </c>
      <c r="C24" s="59"/>
    </row>
    <row r="25" s="42" customFormat="1" ht="28.05" customHeight="1" spans="2:3">
      <c r="B25" s="60" t="s">
        <v>368</v>
      </c>
      <c r="C25" s="61"/>
    </row>
    <row r="26" ht="28.5" customHeight="1" spans="2:3">
      <c r="B26" s="48" t="s">
        <v>369</v>
      </c>
      <c r="C26" s="49"/>
    </row>
    <row r="27" ht="28.95" customHeight="1" spans="2:3">
      <c r="B27" s="50" t="s">
        <v>346</v>
      </c>
      <c r="C27" s="51" t="s">
        <v>370</v>
      </c>
    </row>
    <row r="28" ht="31.95" customHeight="1" spans="2:3">
      <c r="B28" s="50" t="s">
        <v>340</v>
      </c>
      <c r="C28" s="52" t="s">
        <v>371</v>
      </c>
    </row>
    <row r="29" ht="26.1" customHeight="1" spans="2:3">
      <c r="B29" s="50" t="s">
        <v>40</v>
      </c>
      <c r="C29" s="51" t="s">
        <v>372</v>
      </c>
    </row>
    <row r="30" ht="26.1" customHeight="1" spans="2:3">
      <c r="B30" s="50" t="s">
        <v>43</v>
      </c>
      <c r="C30" s="62" t="s">
        <v>373</v>
      </c>
    </row>
    <row r="31" ht="25.05" customHeight="1" spans="2:3">
      <c r="B31" s="50" t="s">
        <v>344</v>
      </c>
      <c r="C31" s="53" t="s">
        <v>345</v>
      </c>
    </row>
    <row r="32" ht="22.95" customHeight="1" spans="2:3">
      <c r="B32" s="50" t="s">
        <v>356</v>
      </c>
      <c r="C32" s="53" t="s">
        <v>357</v>
      </c>
    </row>
    <row r="33" ht="27" customHeight="1" spans="2:3">
      <c r="B33" s="50" t="s">
        <v>358</v>
      </c>
      <c r="C33" s="53" t="s">
        <v>359</v>
      </c>
    </row>
    <row r="34" ht="27" customHeight="1" spans="2:3">
      <c r="B34" s="50" t="s">
        <v>44</v>
      </c>
      <c r="C34" s="53" t="s">
        <v>360</v>
      </c>
    </row>
    <row r="35" ht="27" spans="2:3">
      <c r="B35" s="50" t="s">
        <v>361</v>
      </c>
      <c r="C35" s="53" t="s">
        <v>362</v>
      </c>
    </row>
    <row r="36" ht="26.1" customHeight="1" spans="2:3">
      <c r="B36" s="50" t="s">
        <v>374</v>
      </c>
      <c r="C36" s="53" t="s">
        <v>375</v>
      </c>
    </row>
    <row r="43" spans="2:3">
      <c r="C43" s="63"/>
    </row>
    <row r="49" ht="33" customHeight="1"/>
  </sheetData>
  <mergeCells count="6">
    <mergeCell ref="B2:C2"/>
    <mergeCell ref="B3:C3"/>
    <mergeCell ref="B4:C4"/>
    <mergeCell ref="B24:C24"/>
    <mergeCell ref="B25:C25"/>
    <mergeCell ref="B26:C26"/>
  </mergeCells>
  <pageMargins left="0.7" right="0.7" top="0.75" bottom="0.75" header="0.3" footer="0.3"/>
  <pageSetup paperSize="9" scale="92" fitToHeight="0"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0" tint="-0.149937437055574"/>
  </sheetPr>
  <dimension ref="B1:AG20"/>
  <sheetViews>
    <sheetView zoomScale="121" zoomScaleNormal="121" workbookViewId="0">
      <selection activeCell="X8" sqref="X8"/>
    </sheetView>
  </sheetViews>
  <sheetFormatPr defaultColWidth="8.78181818181818" defaultRowHeight="12.5"/>
  <cols>
    <col min="1" max="1" width="2" style="1" customWidth="1"/>
    <col min="2" max="2" width="11.5545454545455" style="2" customWidth="1"/>
    <col min="3" max="9" width="18.7818181818182" style="2" customWidth="1"/>
    <col min="10" max="10" width="18.7818181818182" style="3" customWidth="1"/>
    <col min="11" max="14" width="18.7818181818182" style="2" customWidth="1"/>
    <col min="15" max="15" width="28.7818181818182" style="3" customWidth="1"/>
    <col min="16" max="16" width="28.7818181818182" style="2" customWidth="1"/>
    <col min="17" max="18" width="18.7818181818182" style="2" customWidth="1"/>
    <col min="19" max="19" width="28.7818181818182" style="2" customWidth="1"/>
    <col min="20" max="23" width="18.7818181818182" style="2" customWidth="1"/>
    <col min="24" max="24" width="18.7818181818182" style="3" customWidth="1"/>
    <col min="25" max="25" width="5" style="1" customWidth="1"/>
    <col min="26" max="16384" width="8.78181818181818" style="1"/>
  </cols>
  <sheetData>
    <row r="1" ht="13.25"/>
    <row r="2" ht="13.75" spans="2:33">
      <c r="B2" s="4" t="s">
        <v>7</v>
      </c>
      <c r="C2" s="5">
        <v>1</v>
      </c>
      <c r="D2" s="5">
        <v>2</v>
      </c>
      <c r="E2" s="5">
        <v>3</v>
      </c>
      <c r="F2" s="5">
        <v>4</v>
      </c>
      <c r="G2" s="5">
        <v>5</v>
      </c>
      <c r="H2" s="5">
        <v>6</v>
      </c>
      <c r="I2" s="5">
        <v>7</v>
      </c>
      <c r="J2" s="5">
        <v>8</v>
      </c>
      <c r="K2" s="5">
        <v>9</v>
      </c>
      <c r="L2" s="5">
        <v>10</v>
      </c>
      <c r="M2" s="5">
        <v>11</v>
      </c>
      <c r="N2" s="5">
        <v>12</v>
      </c>
      <c r="O2" s="5">
        <v>13</v>
      </c>
      <c r="P2" s="5">
        <v>14</v>
      </c>
      <c r="Q2" s="5">
        <v>15</v>
      </c>
      <c r="R2" s="5">
        <v>16</v>
      </c>
      <c r="S2" s="5">
        <v>17</v>
      </c>
      <c r="T2" s="5">
        <v>18</v>
      </c>
      <c r="U2" s="5">
        <v>19</v>
      </c>
      <c r="V2" s="5">
        <v>20</v>
      </c>
      <c r="W2" s="5">
        <v>21</v>
      </c>
      <c r="X2" s="6">
        <v>22</v>
      </c>
      <c r="Z2" s="7" t="s">
        <v>376</v>
      </c>
      <c r="AA2" s="8"/>
      <c r="AB2" s="8"/>
      <c r="AC2" s="8"/>
      <c r="AD2" s="8"/>
      <c r="AE2" s="8"/>
      <c r="AF2" s="8"/>
      <c r="AG2" s="9"/>
    </row>
    <row r="3" ht="39" spans="2:33">
      <c r="B3" s="10" t="s">
        <v>8</v>
      </c>
      <c r="C3" s="11" t="s">
        <v>259</v>
      </c>
      <c r="D3" s="11" t="s">
        <v>14</v>
      </c>
      <c r="E3" s="11" t="s">
        <v>377</v>
      </c>
      <c r="F3" s="11" t="s">
        <v>378</v>
      </c>
      <c r="G3" s="11" t="s">
        <v>379</v>
      </c>
      <c r="H3" s="11" t="s">
        <v>31</v>
      </c>
      <c r="I3" s="12" t="s">
        <v>380</v>
      </c>
      <c r="J3" s="12" t="s">
        <v>381</v>
      </c>
      <c r="K3" s="12" t="s">
        <v>382</v>
      </c>
      <c r="L3" s="12" t="s">
        <v>48</v>
      </c>
      <c r="M3" s="12" t="s">
        <v>383</v>
      </c>
      <c r="N3" s="12" t="s">
        <v>384</v>
      </c>
      <c r="O3" s="12" t="s">
        <v>385</v>
      </c>
      <c r="P3" s="12" t="s">
        <v>386</v>
      </c>
      <c r="Q3" s="12" t="s">
        <v>387</v>
      </c>
      <c r="R3" s="12" t="s">
        <v>388</v>
      </c>
      <c r="S3" s="12" t="s">
        <v>389</v>
      </c>
      <c r="T3" s="12" t="s">
        <v>390</v>
      </c>
      <c r="U3" s="12" t="s">
        <v>391</v>
      </c>
      <c r="V3" s="12" t="s">
        <v>392</v>
      </c>
      <c r="W3" s="12" t="s">
        <v>393</v>
      </c>
      <c r="X3" s="13" t="s">
        <v>394</v>
      </c>
      <c r="Z3" s="14" t="s">
        <v>395</v>
      </c>
      <c r="AA3" s="15" t="s">
        <v>396</v>
      </c>
      <c r="AB3" s="16" t="s">
        <v>397</v>
      </c>
      <c r="AC3" s="14" t="s">
        <v>398</v>
      </c>
      <c r="AD3" s="15" t="s">
        <v>399</v>
      </c>
      <c r="AE3" s="17" t="s">
        <v>400</v>
      </c>
      <c r="AF3" s="18" t="s">
        <v>401</v>
      </c>
      <c r="AG3" s="16" t="s">
        <v>258</v>
      </c>
    </row>
    <row r="4" ht="39" spans="2:33">
      <c r="B4" s="19" t="s">
        <v>402</v>
      </c>
      <c r="C4" s="20" t="s">
        <v>403</v>
      </c>
      <c r="D4" s="20" t="s">
        <v>403</v>
      </c>
      <c r="E4" s="20" t="s">
        <v>403</v>
      </c>
      <c r="F4" s="20" t="s">
        <v>403</v>
      </c>
      <c r="G4" s="20" t="s">
        <v>403</v>
      </c>
      <c r="H4" s="20" t="s">
        <v>403</v>
      </c>
      <c r="I4" s="20" t="s">
        <v>55</v>
      </c>
      <c r="J4" s="21" t="s">
        <v>42</v>
      </c>
      <c r="K4" s="20" t="s">
        <v>403</v>
      </c>
      <c r="L4" s="20" t="s">
        <v>94</v>
      </c>
      <c r="M4" s="20" t="s">
        <v>404</v>
      </c>
      <c r="N4" s="20" t="s">
        <v>55</v>
      </c>
      <c r="O4" s="21" t="s">
        <v>346</v>
      </c>
      <c r="P4" s="20" t="s">
        <v>403</v>
      </c>
      <c r="Q4" s="20" t="s">
        <v>404</v>
      </c>
      <c r="R4" s="20" t="s">
        <v>55</v>
      </c>
      <c r="S4" s="20" t="s">
        <v>405</v>
      </c>
      <c r="T4" s="21" t="s">
        <v>70</v>
      </c>
      <c r="U4" s="20" t="s">
        <v>403</v>
      </c>
      <c r="V4" s="20" t="s">
        <v>403</v>
      </c>
      <c r="W4" s="20" t="s">
        <v>55</v>
      </c>
      <c r="X4" s="22" t="s">
        <v>79</v>
      </c>
      <c r="Z4" s="23" t="s">
        <v>406</v>
      </c>
      <c r="AA4" s="24" t="s">
        <v>322</v>
      </c>
      <c r="AB4" s="25">
        <v>1</v>
      </c>
      <c r="AC4" s="26" t="s">
        <v>407</v>
      </c>
      <c r="AD4" s="27" t="s">
        <v>325</v>
      </c>
      <c r="AE4" s="28">
        <v>4</v>
      </c>
      <c r="AF4" s="29">
        <v>16</v>
      </c>
      <c r="AG4" s="25" t="s">
        <v>325</v>
      </c>
    </row>
    <row r="5" ht="39" spans="2:33">
      <c r="B5" s="30"/>
      <c r="C5" s="20"/>
      <c r="D5" s="20"/>
      <c r="E5" s="20"/>
      <c r="F5" s="20"/>
      <c r="G5" s="20"/>
      <c r="H5" s="20"/>
      <c r="I5" s="20" t="s">
        <v>63</v>
      </c>
      <c r="J5" s="21" t="s">
        <v>43</v>
      </c>
      <c r="K5" s="20"/>
      <c r="L5" s="20" t="s">
        <v>49</v>
      </c>
      <c r="M5" s="20" t="s">
        <v>52</v>
      </c>
      <c r="N5" s="20" t="s">
        <v>63</v>
      </c>
      <c r="O5" s="21" t="s">
        <v>340</v>
      </c>
      <c r="P5" s="20"/>
      <c r="Q5" s="20" t="s">
        <v>52</v>
      </c>
      <c r="R5" s="20" t="s">
        <v>63</v>
      </c>
      <c r="S5" s="20" t="s">
        <v>408</v>
      </c>
      <c r="T5" s="21" t="s">
        <v>96</v>
      </c>
      <c r="U5" s="20"/>
      <c r="V5" s="20"/>
      <c r="W5" s="20" t="s">
        <v>63</v>
      </c>
      <c r="X5" s="22" t="s">
        <v>409</v>
      </c>
      <c r="Z5" s="23" t="s">
        <v>410</v>
      </c>
      <c r="AA5" s="24" t="s">
        <v>323</v>
      </c>
      <c r="AB5" s="25">
        <v>2</v>
      </c>
      <c r="AC5" s="26" t="s">
        <v>411</v>
      </c>
      <c r="AD5" s="27" t="s">
        <v>324</v>
      </c>
      <c r="AE5" s="28">
        <v>3</v>
      </c>
      <c r="AF5" s="29">
        <v>12</v>
      </c>
      <c r="AG5" s="25" t="s">
        <v>324</v>
      </c>
    </row>
    <row r="6" ht="39" spans="2:33">
      <c r="B6" s="30"/>
      <c r="C6" s="20"/>
      <c r="D6" s="20"/>
      <c r="E6" s="20"/>
      <c r="F6" s="20"/>
      <c r="G6" s="20"/>
      <c r="H6" s="20"/>
      <c r="I6" s="20"/>
      <c r="J6" s="21" t="s">
        <v>40</v>
      </c>
      <c r="K6" s="20"/>
      <c r="L6" s="21" t="s">
        <v>95</v>
      </c>
      <c r="M6" s="20" t="s">
        <v>412</v>
      </c>
      <c r="N6" s="20"/>
      <c r="O6" s="21" t="s">
        <v>40</v>
      </c>
      <c r="P6" s="20"/>
      <c r="Q6" s="20" t="s">
        <v>413</v>
      </c>
      <c r="R6" s="20"/>
      <c r="S6" s="20" t="s">
        <v>414</v>
      </c>
      <c r="T6" s="21" t="s">
        <v>97</v>
      </c>
      <c r="U6" s="20"/>
      <c r="V6" s="20"/>
      <c r="W6" s="20"/>
      <c r="X6" s="22" t="s">
        <v>415</v>
      </c>
      <c r="Z6" s="23" t="s">
        <v>416</v>
      </c>
      <c r="AA6" s="24" t="s">
        <v>324</v>
      </c>
      <c r="AB6" s="25">
        <v>3</v>
      </c>
      <c r="AC6" s="26" t="s">
        <v>417</v>
      </c>
      <c r="AD6" s="27" t="s">
        <v>323</v>
      </c>
      <c r="AE6" s="28">
        <v>2</v>
      </c>
      <c r="AF6" s="29">
        <v>9</v>
      </c>
      <c r="AG6" s="25" t="s">
        <v>324</v>
      </c>
    </row>
    <row r="7" ht="26.75" spans="2:33">
      <c r="B7" s="30"/>
      <c r="C7" s="20"/>
      <c r="D7" s="20"/>
      <c r="E7" s="20"/>
      <c r="F7" s="20"/>
      <c r="G7" s="20"/>
      <c r="H7" s="20"/>
      <c r="I7" s="20"/>
      <c r="J7" s="21" t="s">
        <v>338</v>
      </c>
      <c r="K7" s="20"/>
      <c r="L7" s="21" t="s">
        <v>68</v>
      </c>
      <c r="M7" s="20" t="s">
        <v>274</v>
      </c>
      <c r="N7" s="20"/>
      <c r="O7" s="21" t="s">
        <v>43</v>
      </c>
      <c r="P7" s="20"/>
      <c r="Q7" s="20" t="s">
        <v>418</v>
      </c>
      <c r="R7" s="20"/>
      <c r="S7" s="20" t="s">
        <v>419</v>
      </c>
      <c r="T7" s="21" t="s">
        <v>98</v>
      </c>
      <c r="U7" s="20"/>
      <c r="V7" s="20"/>
      <c r="W7" s="20"/>
      <c r="X7" s="22" t="s">
        <v>420</v>
      </c>
      <c r="Z7" s="31" t="s">
        <v>421</v>
      </c>
      <c r="AA7" s="32" t="s">
        <v>325</v>
      </c>
      <c r="AB7" s="33">
        <v>4</v>
      </c>
      <c r="AC7" s="34" t="s">
        <v>422</v>
      </c>
      <c r="AD7" s="35" t="s">
        <v>322</v>
      </c>
      <c r="AE7" s="36">
        <v>1</v>
      </c>
      <c r="AF7" s="29">
        <v>8</v>
      </c>
      <c r="AG7" s="25" t="s">
        <v>324</v>
      </c>
    </row>
    <row r="8" ht="26" spans="2:33">
      <c r="B8" s="30"/>
      <c r="C8" s="20"/>
      <c r="D8" s="20"/>
      <c r="E8" s="20"/>
      <c r="F8" s="20"/>
      <c r="G8" s="20"/>
      <c r="H8" s="20"/>
      <c r="I8" s="20"/>
      <c r="J8" s="21" t="s">
        <v>340</v>
      </c>
      <c r="K8" s="20"/>
      <c r="L8" s="21"/>
      <c r="M8" s="20" t="s">
        <v>423</v>
      </c>
      <c r="N8" s="20"/>
      <c r="O8" s="21" t="s">
        <v>338</v>
      </c>
      <c r="P8" s="20"/>
      <c r="Q8" s="20"/>
      <c r="R8" s="20"/>
      <c r="S8" s="20" t="s">
        <v>63</v>
      </c>
      <c r="T8" s="21" t="s">
        <v>68</v>
      </c>
      <c r="U8" s="20"/>
      <c r="V8" s="20"/>
      <c r="W8" s="20"/>
      <c r="X8" s="22" t="s">
        <v>68</v>
      </c>
      <c r="AF8" s="29">
        <v>6</v>
      </c>
      <c r="AG8" s="25" t="s">
        <v>323</v>
      </c>
    </row>
    <row r="9" ht="26" spans="2:33">
      <c r="B9" s="30"/>
      <c r="C9" s="20"/>
      <c r="D9" s="20"/>
      <c r="E9" s="20"/>
      <c r="F9" s="20"/>
      <c r="G9" s="20"/>
      <c r="H9" s="20"/>
      <c r="I9" s="20"/>
      <c r="J9" s="21" t="s">
        <v>342</v>
      </c>
      <c r="K9" s="20"/>
      <c r="L9" s="21"/>
      <c r="M9" s="20"/>
      <c r="N9" s="20"/>
      <c r="O9" s="21" t="s">
        <v>424</v>
      </c>
      <c r="P9" s="20"/>
      <c r="Q9" s="20"/>
      <c r="R9" s="20"/>
      <c r="S9" s="20"/>
      <c r="T9" s="20"/>
      <c r="U9" s="20"/>
      <c r="V9" s="20"/>
      <c r="W9" s="20"/>
      <c r="X9" s="22"/>
      <c r="AF9" s="29">
        <v>4</v>
      </c>
      <c r="AG9" s="25" t="s">
        <v>323</v>
      </c>
    </row>
    <row r="10" ht="13" spans="2:33">
      <c r="B10" s="30"/>
      <c r="C10" s="20"/>
      <c r="D10" s="20"/>
      <c r="E10" s="20"/>
      <c r="F10" s="20"/>
      <c r="G10" s="20"/>
      <c r="H10" s="20"/>
      <c r="I10" s="20"/>
      <c r="J10" s="21" t="s">
        <v>346</v>
      </c>
      <c r="K10" s="20"/>
      <c r="L10" s="20"/>
      <c r="M10" s="20"/>
      <c r="N10" s="20"/>
      <c r="O10" s="21"/>
      <c r="P10" s="20"/>
      <c r="Q10" s="20"/>
      <c r="R10" s="20"/>
      <c r="S10" s="20"/>
      <c r="T10" s="20"/>
      <c r="U10" s="20"/>
      <c r="V10" s="20"/>
      <c r="W10" s="20"/>
      <c r="X10" s="22"/>
      <c r="AF10" s="29">
        <v>3</v>
      </c>
      <c r="AG10" s="25" t="s">
        <v>323</v>
      </c>
    </row>
    <row r="11" ht="13" spans="2:33">
      <c r="B11" s="30"/>
      <c r="C11" s="20"/>
      <c r="D11" s="20"/>
      <c r="E11" s="20"/>
      <c r="F11" s="20"/>
      <c r="G11" s="20"/>
      <c r="H11" s="20"/>
      <c r="I11" s="20"/>
      <c r="J11" s="21" t="s">
        <v>348</v>
      </c>
      <c r="K11" s="20"/>
      <c r="L11" s="20"/>
      <c r="M11" s="20"/>
      <c r="N11" s="20"/>
      <c r="O11" s="21"/>
      <c r="P11" s="20"/>
      <c r="Q11" s="20"/>
      <c r="R11" s="20"/>
      <c r="S11" s="20"/>
      <c r="T11" s="20"/>
      <c r="U11" s="20"/>
      <c r="V11" s="20"/>
      <c r="W11" s="20"/>
      <c r="X11" s="22"/>
      <c r="AF11" s="29">
        <v>2</v>
      </c>
      <c r="AG11" s="25" t="s">
        <v>322</v>
      </c>
    </row>
    <row r="12" ht="13.75" spans="2:33">
      <c r="B12" s="30"/>
      <c r="C12" s="20"/>
      <c r="D12" s="20"/>
      <c r="E12" s="20"/>
      <c r="F12" s="20"/>
      <c r="G12" s="20"/>
      <c r="H12" s="20"/>
      <c r="I12" s="20"/>
      <c r="J12" s="21" t="s">
        <v>350</v>
      </c>
      <c r="K12" s="20"/>
      <c r="L12" s="20"/>
      <c r="M12" s="20"/>
      <c r="N12" s="20"/>
      <c r="O12" s="21"/>
      <c r="P12" s="20"/>
      <c r="Q12" s="20"/>
      <c r="R12" s="20"/>
      <c r="S12" s="20"/>
      <c r="T12" s="20"/>
      <c r="U12" s="20"/>
      <c r="V12" s="20"/>
      <c r="W12" s="20"/>
      <c r="X12" s="22"/>
      <c r="AF12" s="37">
        <v>1</v>
      </c>
      <c r="AG12" s="33" t="s">
        <v>322</v>
      </c>
    </row>
    <row r="13" ht="13" spans="2:33">
      <c r="B13" s="30"/>
      <c r="C13" s="20"/>
      <c r="D13" s="20"/>
      <c r="E13" s="20"/>
      <c r="F13" s="20"/>
      <c r="G13" s="20"/>
      <c r="H13" s="20"/>
      <c r="I13" s="20"/>
      <c r="J13" s="21" t="s">
        <v>352</v>
      </c>
      <c r="K13" s="20"/>
      <c r="L13" s="20"/>
      <c r="M13" s="20"/>
      <c r="N13" s="20"/>
      <c r="O13" s="21"/>
      <c r="P13" s="20"/>
      <c r="Q13" s="20"/>
      <c r="R13" s="20"/>
      <c r="S13" s="20"/>
      <c r="T13" s="20"/>
      <c r="U13" s="20"/>
      <c r="V13" s="20"/>
      <c r="W13" s="20"/>
      <c r="X13" s="22"/>
    </row>
    <row r="14" ht="13" spans="2:33">
      <c r="B14" s="30"/>
      <c r="C14" s="20"/>
      <c r="D14" s="20"/>
      <c r="E14" s="20"/>
      <c r="F14" s="20"/>
      <c r="G14" s="20"/>
      <c r="H14" s="20"/>
      <c r="I14" s="20"/>
      <c r="J14" s="21" t="s">
        <v>354</v>
      </c>
      <c r="K14" s="20"/>
      <c r="L14" s="20"/>
      <c r="M14" s="20"/>
      <c r="N14" s="20"/>
      <c r="O14" s="21"/>
      <c r="P14" s="20"/>
      <c r="Q14" s="20"/>
      <c r="R14" s="20"/>
      <c r="S14" s="20"/>
      <c r="T14" s="20"/>
      <c r="U14" s="20"/>
      <c r="V14" s="20"/>
      <c r="W14" s="20"/>
      <c r="X14" s="22"/>
    </row>
    <row r="15" ht="13" spans="2:33">
      <c r="B15" s="30"/>
      <c r="C15" s="20"/>
      <c r="D15" s="20"/>
      <c r="E15" s="20"/>
      <c r="F15" s="20"/>
      <c r="G15" s="20"/>
      <c r="H15" s="20"/>
      <c r="I15" s="20"/>
      <c r="J15" s="21" t="s">
        <v>44</v>
      </c>
      <c r="K15" s="20"/>
      <c r="L15" s="20"/>
      <c r="M15" s="20"/>
      <c r="N15" s="20"/>
      <c r="O15" s="21"/>
      <c r="P15" s="20"/>
      <c r="Q15" s="20"/>
      <c r="R15" s="20"/>
      <c r="S15" s="20"/>
      <c r="T15" s="20"/>
      <c r="U15" s="20"/>
      <c r="V15" s="20"/>
      <c r="W15" s="20"/>
      <c r="X15" s="22"/>
    </row>
    <row r="16" ht="13" spans="2:33">
      <c r="B16" s="30"/>
      <c r="C16" s="20"/>
      <c r="D16" s="20"/>
      <c r="E16" s="20"/>
      <c r="F16" s="20"/>
      <c r="G16" s="20"/>
      <c r="H16" s="20"/>
      <c r="I16" s="20"/>
      <c r="J16" s="21" t="s">
        <v>425</v>
      </c>
      <c r="K16" s="20"/>
      <c r="L16" s="20"/>
      <c r="M16" s="20"/>
      <c r="N16" s="20"/>
      <c r="O16" s="21"/>
      <c r="P16" s="20"/>
      <c r="Q16" s="20"/>
      <c r="R16" s="20"/>
      <c r="S16" s="20"/>
      <c r="U16" s="20"/>
      <c r="V16" s="20"/>
      <c r="W16" s="20"/>
      <c r="X16" s="22"/>
    </row>
    <row r="17" ht="13" spans="2:24">
      <c r="B17" s="30"/>
      <c r="C17" s="20"/>
      <c r="D17" s="20"/>
      <c r="E17" s="20"/>
      <c r="F17" s="20"/>
      <c r="G17" s="20"/>
      <c r="H17" s="20"/>
      <c r="I17" s="20"/>
      <c r="J17" s="21" t="s">
        <v>426</v>
      </c>
      <c r="K17" s="20"/>
      <c r="L17" s="20"/>
      <c r="M17" s="20"/>
      <c r="N17" s="20"/>
      <c r="O17" s="21"/>
      <c r="P17" s="20"/>
      <c r="Q17" s="20"/>
      <c r="R17" s="20"/>
      <c r="S17" s="20"/>
      <c r="T17" s="20"/>
      <c r="U17" s="20"/>
      <c r="V17" s="20"/>
      <c r="W17" s="20"/>
      <c r="X17" s="22"/>
    </row>
    <row r="18" ht="13" spans="2:24">
      <c r="B18" s="30"/>
      <c r="C18" s="20"/>
      <c r="D18" s="20"/>
      <c r="E18" s="20"/>
      <c r="F18" s="20"/>
      <c r="G18" s="20"/>
      <c r="H18" s="20"/>
      <c r="I18" s="20"/>
      <c r="J18" s="21" t="s">
        <v>363</v>
      </c>
      <c r="K18" s="20"/>
      <c r="L18" s="20"/>
      <c r="M18" s="20"/>
      <c r="N18" s="20"/>
      <c r="O18" s="21"/>
      <c r="P18" s="20"/>
      <c r="Q18" s="20"/>
      <c r="R18" s="20"/>
      <c r="S18" s="20"/>
      <c r="T18" s="20"/>
      <c r="U18" s="20"/>
      <c r="V18" s="20"/>
      <c r="W18" s="20"/>
      <c r="X18" s="22"/>
    </row>
    <row r="19" ht="26" spans="2:24">
      <c r="B19" s="30"/>
      <c r="C19" s="20"/>
      <c r="D19" s="20"/>
      <c r="E19" s="20"/>
      <c r="F19" s="20"/>
      <c r="G19" s="20"/>
      <c r="H19" s="20"/>
      <c r="I19" s="20"/>
      <c r="J19" s="21" t="s">
        <v>427</v>
      </c>
      <c r="K19" s="20"/>
      <c r="L19" s="20"/>
      <c r="M19" s="20"/>
      <c r="N19" s="20"/>
      <c r="O19" s="21"/>
      <c r="P19" s="20"/>
      <c r="Q19" s="20"/>
      <c r="R19" s="20"/>
      <c r="S19" s="20"/>
      <c r="T19" s="20"/>
      <c r="U19" s="20"/>
      <c r="V19" s="20"/>
      <c r="W19" s="20"/>
      <c r="X19" s="22"/>
    </row>
    <row r="20" ht="13.25" spans="2:24">
      <c r="B20" s="38"/>
      <c r="C20" s="39"/>
      <c r="D20" s="39"/>
      <c r="E20" s="39"/>
      <c r="F20" s="39"/>
      <c r="G20" s="39"/>
      <c r="H20" s="39"/>
      <c r="I20" s="39"/>
      <c r="J20" s="40"/>
      <c r="K20" s="39"/>
      <c r="L20" s="39"/>
      <c r="M20" s="39"/>
      <c r="N20" s="39"/>
      <c r="O20" s="40"/>
      <c r="P20" s="39"/>
      <c r="Q20" s="39"/>
      <c r="R20" s="39"/>
      <c r="S20" s="39"/>
      <c r="T20" s="39"/>
      <c r="U20" s="39"/>
      <c r="V20" s="39"/>
      <c r="W20" s="39"/>
      <c r="X20" s="41"/>
    </row>
  </sheetData>
  <mergeCells count="2">
    <mergeCell ref="Z2:AG2"/>
    <mergeCell ref="B4:B20"/>
  </mergeCells>
  <pageMargins left="0.7" right="0.7" top="0.75" bottom="0.75" header="0.3" footer="0.3"/>
  <pageSetup paperSize="9" orientation="portrait" horizontalDpi="300" verticalDpi="300"/>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2" master="" otherUserPermission="visible"/>
  <rangeList sheetStid="1" master="" otherUserPermission="visible">
    <arrUserId title="不可以修改区域" rangeCreator="" othersAccessPermission="edit"/>
  </rangeList>
  <rangeList sheetStid="23" master="" otherUserPermission="visible"/>
  <rangeList sheetStid="8" master="" otherUserPermission="visible"/>
  <rangeList sheetStid="25" master="" otherUserPermission="visible"/>
  <rangeList sheetStid="27" master="" otherUserPermission="visible"/>
  <rangeList sheetStid="18" master="" otherUserPermission="visible"/>
  <rangeList sheetStid="15"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Company>KPMG</Company>
  <Application>Microsoft Excel</Application>
  <HeadingPairs>
    <vt:vector size="2" baseType="variant">
      <vt:variant>
        <vt:lpstr>工作表</vt:lpstr>
      </vt:variant>
      <vt:variant>
        <vt:i4>8</vt:i4>
      </vt:variant>
    </vt:vector>
  </HeadingPairs>
  <TitlesOfParts>
    <vt:vector size="8" baseType="lpstr">
      <vt:lpstr>首页</vt:lpstr>
      <vt:lpstr>基本信息（产品经理）</vt:lpstr>
      <vt:lpstr>个人信息映射表（产品经理）</vt:lpstr>
      <vt:lpstr>个人信息保护影响评估（产品经理）</vt:lpstr>
      <vt:lpstr>风险等级</vt:lpstr>
      <vt:lpstr>审核记录</vt:lpstr>
      <vt:lpstr>参考</vt:lpstr>
      <vt:lpstr>下拉菜单参考</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Yang, Sarah (BJ/MC)</dc:creator>
  <cp:lastModifiedBy>于海南</cp:lastModifiedBy>
  <dcterms:created xsi:type="dcterms:W3CDTF">2023-11-23T01:17:00Z</dcterms:created>
  <dcterms:modified xsi:type="dcterms:W3CDTF">2026-09-03T11:40:48Z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B928F15A6940496F8D105D9DC7B0186E_13</vt:lpwstr>
  </property>
  <property fmtid="{D5CDD505-2E9C-101B-9397-08002B2CF9AE}" pid="3" name="KSOProductBuildVer">
    <vt:lpwstr>2052-12.1.0.28505</vt:lpwstr>
  </property>
  <property fmtid="{D5CDD505-2E9C-101B-9397-08002B2CF9AE}" pid="4" name="CalculationRule">
    <vt:i4>0</vt:i4>
  </property>
</Properties>
</file>